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\Desktop\Matt's Folder\SLT\"/>
    </mc:Choice>
  </mc:AlternateContent>
  <xr:revisionPtr revIDLastSave="0" documentId="13_ncr:1_{46C7E312-B860-4DF1-AB9D-C66FFF52CBC0}" xr6:coauthVersionLast="47" xr6:coauthVersionMax="47" xr10:uidLastSave="{00000000-0000-0000-0000-000000000000}"/>
  <workbookProtection lockStructure="1"/>
  <bookViews>
    <workbookView xWindow="-120" yWindow="-120" windowWidth="20730" windowHeight="11160" xr2:uid="{8DD0D85E-9325-4D48-A6DA-930FD9DAD443}"/>
  </bookViews>
  <sheets>
    <sheet name="Audio Practice" sheetId="6" r:id="rId1"/>
    <sheet name="Symbols" sheetId="2" r:id="rId2"/>
    <sheet name="Settings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" l="1"/>
  <c r="D2" i="3"/>
  <c r="E3" i="3" l="1"/>
  <c r="D4" i="3"/>
  <c r="E4" i="3" s="1"/>
  <c r="D5" i="3"/>
  <c r="E5" i="3" s="1"/>
  <c r="D6" i="3"/>
  <c r="E6" i="3" s="1"/>
  <c r="D7" i="3"/>
  <c r="E7" i="3" s="1"/>
  <c r="D8" i="3"/>
  <c r="E8" i="3" s="1"/>
  <c r="D9" i="3"/>
  <c r="E9" i="3" s="1"/>
  <c r="D10" i="3"/>
  <c r="E10" i="3" s="1"/>
  <c r="D11" i="3"/>
  <c r="E11" i="3" s="1"/>
  <c r="D12" i="3"/>
  <c r="D13" i="3"/>
  <c r="D14" i="3"/>
  <c r="E14" i="3" s="1"/>
  <c r="D15" i="3"/>
  <c r="E15" i="3" s="1"/>
  <c r="D16" i="3"/>
  <c r="E16" i="3" s="1"/>
  <c r="D17" i="3"/>
  <c r="E17" i="3" s="1"/>
  <c r="D18" i="3"/>
  <c r="E18" i="3" s="1"/>
  <c r="E2" i="3"/>
  <c r="D157" i="3"/>
  <c r="E157" i="3" s="1"/>
  <c r="D158" i="3"/>
  <c r="E158" i="3" s="1"/>
  <c r="D159" i="3"/>
  <c r="E159" i="3" s="1"/>
  <c r="D160" i="3"/>
  <c r="E160" i="3" s="1"/>
  <c r="D161" i="3"/>
  <c r="E161" i="3" s="1"/>
  <c r="D162" i="3"/>
  <c r="E162" i="3" s="1"/>
  <c r="D163" i="3"/>
  <c r="E163" i="3" s="1"/>
  <c r="D164" i="3"/>
  <c r="E164" i="3" s="1"/>
  <c r="D165" i="3"/>
  <c r="E165" i="3" s="1"/>
  <c r="D166" i="3"/>
  <c r="E166" i="3" s="1"/>
  <c r="D167" i="3"/>
  <c r="E167" i="3" s="1"/>
  <c r="D168" i="3"/>
  <c r="E168" i="3" s="1"/>
  <c r="D169" i="3"/>
  <c r="E169" i="3" s="1"/>
  <c r="D170" i="3"/>
  <c r="E170" i="3" s="1"/>
  <c r="D171" i="3"/>
  <c r="E171" i="3" s="1"/>
  <c r="D172" i="3"/>
  <c r="E172" i="3" s="1"/>
  <c r="D173" i="3"/>
  <c r="E173" i="3" s="1"/>
  <c r="D174" i="3"/>
  <c r="E174" i="3" s="1"/>
  <c r="D175" i="3"/>
  <c r="E175" i="3" s="1"/>
  <c r="D176" i="3"/>
  <c r="E176" i="3" s="1"/>
  <c r="D177" i="3"/>
  <c r="E177" i="3" s="1"/>
  <c r="D178" i="3"/>
  <c r="E178" i="3" s="1"/>
  <c r="D179" i="3"/>
  <c r="E179" i="3" s="1"/>
  <c r="D156" i="3"/>
  <c r="E156" i="3" s="1"/>
  <c r="D148" i="3"/>
  <c r="E148" i="3" s="1"/>
  <c r="D149" i="3"/>
  <c r="E149" i="3" s="1"/>
  <c r="D150" i="3"/>
  <c r="E150" i="3" s="1"/>
  <c r="D151" i="3"/>
  <c r="E151" i="3" s="1"/>
  <c r="D152" i="3"/>
  <c r="E152" i="3" s="1"/>
  <c r="D153" i="3"/>
  <c r="E153" i="3" s="1"/>
  <c r="D154" i="3"/>
  <c r="E154" i="3" s="1"/>
  <c r="D155" i="3"/>
  <c r="E155" i="3" s="1"/>
  <c r="D147" i="3"/>
  <c r="E147" i="3" s="1"/>
  <c r="D120" i="3"/>
  <c r="E120" i="3" s="1"/>
  <c r="D121" i="3"/>
  <c r="E121" i="3" s="1"/>
  <c r="D122" i="3"/>
  <c r="E122" i="3" s="1"/>
  <c r="D123" i="3"/>
  <c r="E123" i="3" s="1"/>
  <c r="D124" i="3"/>
  <c r="E124" i="3" s="1"/>
  <c r="D125" i="3"/>
  <c r="E125" i="3" s="1"/>
  <c r="D126" i="3"/>
  <c r="E126" i="3" s="1"/>
  <c r="D127" i="3"/>
  <c r="E127" i="3" s="1"/>
  <c r="D128" i="3"/>
  <c r="E128" i="3" s="1"/>
  <c r="D129" i="3"/>
  <c r="E129" i="3" s="1"/>
  <c r="D130" i="3"/>
  <c r="E130" i="3" s="1"/>
  <c r="D131" i="3"/>
  <c r="E131" i="3" s="1"/>
  <c r="D132" i="3"/>
  <c r="E132" i="3" s="1"/>
  <c r="D133" i="3"/>
  <c r="E133" i="3" s="1"/>
  <c r="D134" i="3"/>
  <c r="E134" i="3" s="1"/>
  <c r="D135" i="3"/>
  <c r="E135" i="3" s="1"/>
  <c r="D136" i="3"/>
  <c r="E136" i="3" s="1"/>
  <c r="D137" i="3"/>
  <c r="E137" i="3" s="1"/>
  <c r="D138" i="3"/>
  <c r="E138" i="3" s="1"/>
  <c r="D139" i="3"/>
  <c r="E139" i="3" s="1"/>
  <c r="D140" i="3"/>
  <c r="E140" i="3" s="1"/>
  <c r="D141" i="3"/>
  <c r="E141" i="3" s="1"/>
  <c r="D142" i="3"/>
  <c r="E142" i="3" s="1"/>
  <c r="D143" i="3"/>
  <c r="E143" i="3" s="1"/>
  <c r="D144" i="3"/>
  <c r="E144" i="3" s="1"/>
  <c r="D145" i="3"/>
  <c r="E145" i="3" s="1"/>
  <c r="D146" i="3"/>
  <c r="E146" i="3" s="1"/>
  <c r="D119" i="3"/>
  <c r="E119" i="3" s="1"/>
  <c r="D89" i="3"/>
  <c r="E89" i="3" s="1"/>
  <c r="D90" i="3"/>
  <c r="E90" i="3" s="1"/>
  <c r="D91" i="3"/>
  <c r="E91" i="3" s="1"/>
  <c r="D92" i="3"/>
  <c r="E92" i="3" s="1"/>
  <c r="D93" i="3"/>
  <c r="E93" i="3" s="1"/>
  <c r="D94" i="3"/>
  <c r="E94" i="3" s="1"/>
  <c r="D95" i="3"/>
  <c r="E95" i="3" s="1"/>
  <c r="D96" i="3"/>
  <c r="E96" i="3" s="1"/>
  <c r="D97" i="3"/>
  <c r="E97" i="3" s="1"/>
  <c r="D98" i="3"/>
  <c r="E98" i="3" s="1"/>
  <c r="D99" i="3"/>
  <c r="E99" i="3" s="1"/>
  <c r="D100" i="3"/>
  <c r="E100" i="3" s="1"/>
  <c r="D101" i="3"/>
  <c r="E101" i="3" s="1"/>
  <c r="D102" i="3"/>
  <c r="E102" i="3" s="1"/>
  <c r="D103" i="3"/>
  <c r="E103" i="3" s="1"/>
  <c r="D104" i="3"/>
  <c r="E104" i="3" s="1"/>
  <c r="D105" i="3"/>
  <c r="E105" i="3" s="1"/>
  <c r="D106" i="3"/>
  <c r="E106" i="3" s="1"/>
  <c r="D107" i="3"/>
  <c r="E107" i="3" s="1"/>
  <c r="D108" i="3"/>
  <c r="E108" i="3" s="1"/>
  <c r="D109" i="3"/>
  <c r="E109" i="3" s="1"/>
  <c r="D110" i="3"/>
  <c r="E110" i="3" s="1"/>
  <c r="D111" i="3"/>
  <c r="E111" i="3" s="1"/>
  <c r="D112" i="3"/>
  <c r="E112" i="3" s="1"/>
  <c r="D113" i="3"/>
  <c r="E113" i="3" s="1"/>
  <c r="D114" i="3"/>
  <c r="E114" i="3" s="1"/>
  <c r="D115" i="3"/>
  <c r="E115" i="3" s="1"/>
  <c r="D116" i="3"/>
  <c r="E116" i="3" s="1"/>
  <c r="D117" i="3"/>
  <c r="E117" i="3" s="1"/>
  <c r="D118" i="3"/>
  <c r="E118" i="3" s="1"/>
  <c r="D88" i="3"/>
  <c r="E88" i="3" s="1"/>
  <c r="D77" i="3"/>
  <c r="E77" i="3" s="1"/>
  <c r="D78" i="3"/>
  <c r="E78" i="3" s="1"/>
  <c r="D79" i="3"/>
  <c r="E79" i="3" s="1"/>
  <c r="D80" i="3"/>
  <c r="E80" i="3" s="1"/>
  <c r="D81" i="3"/>
  <c r="E81" i="3" s="1"/>
  <c r="D82" i="3"/>
  <c r="E82" i="3" s="1"/>
  <c r="D83" i="3"/>
  <c r="E83" i="3" s="1"/>
  <c r="D84" i="3"/>
  <c r="E84" i="3" s="1"/>
  <c r="D85" i="3"/>
  <c r="E85" i="3" s="1"/>
  <c r="D86" i="3"/>
  <c r="E86" i="3" s="1"/>
  <c r="D87" i="3"/>
  <c r="E87" i="3" s="1"/>
  <c r="D76" i="3"/>
  <c r="E76" i="3" s="1"/>
  <c r="D62" i="3"/>
  <c r="E62" i="3" s="1"/>
  <c r="D63" i="3"/>
  <c r="E63" i="3" s="1"/>
  <c r="D64" i="3"/>
  <c r="E64" i="3" s="1"/>
  <c r="D65" i="3"/>
  <c r="E65" i="3" s="1"/>
  <c r="D66" i="3"/>
  <c r="E66" i="3" s="1"/>
  <c r="D67" i="3"/>
  <c r="E67" i="3" s="1"/>
  <c r="D68" i="3"/>
  <c r="E68" i="3" s="1"/>
  <c r="D69" i="3"/>
  <c r="E69" i="3" s="1"/>
  <c r="D70" i="3"/>
  <c r="E70" i="3" s="1"/>
  <c r="D71" i="3"/>
  <c r="E71" i="3" s="1"/>
  <c r="D72" i="3"/>
  <c r="E72" i="3" s="1"/>
  <c r="D73" i="3"/>
  <c r="E73" i="3" s="1"/>
  <c r="D74" i="3"/>
  <c r="E74" i="3" s="1"/>
  <c r="D75" i="3"/>
  <c r="E75" i="3" s="1"/>
  <c r="D61" i="3"/>
  <c r="E61" i="3" s="1"/>
  <c r="E12" i="3"/>
  <c r="E13" i="3"/>
  <c r="D19" i="3"/>
  <c r="E19" i="3" s="1"/>
  <c r="D20" i="3"/>
  <c r="E20" i="3" s="1"/>
  <c r="D21" i="3"/>
  <c r="E21" i="3" s="1"/>
  <c r="D22" i="3"/>
  <c r="E22" i="3" s="1"/>
  <c r="D23" i="3"/>
  <c r="E23" i="3" s="1"/>
  <c r="D24" i="3"/>
  <c r="E24" i="3" s="1"/>
  <c r="D25" i="3"/>
  <c r="E25" i="3" s="1"/>
  <c r="D26" i="3"/>
  <c r="E26" i="3" s="1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E51" i="3" s="1"/>
  <c r="D52" i="3"/>
  <c r="E52" i="3" s="1"/>
  <c r="D53" i="3"/>
  <c r="E53" i="3" s="1"/>
  <c r="D54" i="3"/>
  <c r="E54" i="3" s="1"/>
  <c r="D55" i="3"/>
  <c r="E55" i="3" s="1"/>
  <c r="D56" i="3"/>
  <c r="E56" i="3" s="1"/>
  <c r="D57" i="3"/>
  <c r="E57" i="3" s="1"/>
  <c r="D58" i="3"/>
  <c r="E58" i="3" s="1"/>
  <c r="D59" i="3"/>
  <c r="E59" i="3" s="1"/>
  <c r="D60" i="3"/>
  <c r="E60" i="3" s="1"/>
  <c r="M9" i="3" l="1"/>
  <c r="M16" i="3"/>
  <c r="M20" i="3"/>
  <c r="M22" i="3"/>
  <c r="M27" i="3"/>
  <c r="M32" i="3"/>
  <c r="M36" i="3"/>
  <c r="M37" i="3"/>
  <c r="M44" i="3"/>
  <c r="M45" i="3"/>
  <c r="M50" i="3"/>
  <c r="M54" i="3"/>
  <c r="M58" i="3"/>
  <c r="M61" i="3"/>
  <c r="M66" i="3"/>
  <c r="M69" i="3"/>
  <c r="M73" i="3"/>
  <c r="M79" i="3"/>
  <c r="M83" i="3"/>
  <c r="M85" i="3"/>
  <c r="M91" i="3"/>
  <c r="M94" i="3"/>
  <c r="M98" i="3"/>
  <c r="M103" i="3"/>
  <c r="M106" i="3"/>
  <c r="M110" i="3"/>
  <c r="M116" i="3"/>
  <c r="M119" i="3"/>
  <c r="M124" i="3"/>
  <c r="M127" i="3"/>
  <c r="M131" i="3"/>
  <c r="M7" i="3"/>
  <c r="M135" i="3"/>
  <c r="M139" i="3"/>
  <c r="M144" i="3"/>
  <c r="M146" i="3"/>
  <c r="M152" i="3"/>
  <c r="M154" i="3"/>
  <c r="M160" i="3"/>
  <c r="M164" i="3"/>
  <c r="M167" i="3"/>
  <c r="M170" i="3"/>
  <c r="M176" i="3"/>
  <c r="M178" i="3"/>
  <c r="M182" i="3"/>
  <c r="M185" i="3"/>
  <c r="M190" i="3"/>
  <c r="M196" i="3"/>
  <c r="M199" i="3"/>
  <c r="M203" i="3"/>
  <c r="M206" i="3"/>
  <c r="M209" i="3"/>
  <c r="M215" i="3"/>
  <c r="M220" i="3"/>
  <c r="M222" i="3"/>
  <c r="M227" i="3"/>
  <c r="M232" i="3"/>
  <c r="M234" i="3"/>
  <c r="M240" i="3"/>
  <c r="M243" i="3"/>
  <c r="M245" i="3"/>
  <c r="M251" i="3"/>
  <c r="M253" i="3"/>
  <c r="M258" i="3"/>
  <c r="M262" i="3"/>
  <c r="M265" i="3"/>
  <c r="M272" i="3"/>
  <c r="M274" i="3"/>
  <c r="M277" i="3"/>
  <c r="M284" i="3"/>
  <c r="M288" i="3"/>
  <c r="M292" i="3"/>
  <c r="M296" i="3"/>
  <c r="M298" i="3"/>
  <c r="M304" i="3"/>
  <c r="M305" i="3"/>
  <c r="M312" i="3"/>
  <c r="M313" i="3"/>
  <c r="M320" i="3"/>
  <c r="M324" i="3"/>
  <c r="M328" i="3"/>
  <c r="M332" i="3"/>
  <c r="M333" i="3"/>
  <c r="M340" i="3"/>
  <c r="M341" i="3"/>
  <c r="M11" i="3"/>
  <c r="M15" i="3"/>
  <c r="M18" i="3"/>
  <c r="M24" i="3"/>
  <c r="M28" i="3"/>
  <c r="M29" i="3"/>
  <c r="M34" i="3"/>
  <c r="M39" i="3"/>
  <c r="M43" i="3"/>
  <c r="M47" i="3"/>
  <c r="M52" i="3"/>
  <c r="M53" i="3"/>
  <c r="M60" i="3"/>
  <c r="M62" i="3"/>
  <c r="M65" i="3"/>
  <c r="M70" i="3"/>
  <c r="M76" i="3"/>
  <c r="M77" i="3"/>
  <c r="M84" i="3"/>
  <c r="M87" i="3"/>
  <c r="M89" i="3"/>
  <c r="M93" i="3"/>
  <c r="M97" i="3"/>
  <c r="M102" i="3"/>
  <c r="M105" i="3"/>
  <c r="M111" i="3"/>
  <c r="M114" i="3"/>
  <c r="M118" i="3"/>
  <c r="M123" i="3"/>
  <c r="M126" i="3"/>
  <c r="M129" i="3"/>
  <c r="M5" i="3"/>
  <c r="M133" i="3"/>
  <c r="M137" i="3"/>
  <c r="M141" i="3"/>
  <c r="M148" i="3"/>
  <c r="M151" i="3"/>
  <c r="M155" i="3"/>
  <c r="M158" i="3"/>
  <c r="M163" i="3"/>
  <c r="M165" i="3"/>
  <c r="M169" i="3"/>
  <c r="M175" i="3"/>
  <c r="M179" i="3"/>
  <c r="M183" i="3"/>
  <c r="M188" i="3"/>
  <c r="M191" i="3"/>
  <c r="M194" i="3"/>
  <c r="M200" i="3"/>
  <c r="M204" i="3"/>
  <c r="M205" i="3"/>
  <c r="M212" i="3"/>
  <c r="M214" i="3"/>
  <c r="M219" i="3"/>
  <c r="M224" i="3"/>
  <c r="M228" i="3"/>
  <c r="M230" i="3"/>
  <c r="M235" i="3"/>
  <c r="M239" i="3"/>
  <c r="M241" i="3"/>
  <c r="M248" i="3"/>
  <c r="M252" i="3"/>
  <c r="M256" i="3"/>
  <c r="M259" i="3"/>
  <c r="M264" i="3"/>
  <c r="M266" i="3"/>
  <c r="M270" i="3"/>
  <c r="M276" i="3"/>
  <c r="M279" i="3"/>
  <c r="M281" i="3"/>
  <c r="M286" i="3"/>
  <c r="M291" i="3"/>
  <c r="M293" i="3"/>
  <c r="M300" i="3"/>
  <c r="M303" i="3"/>
  <c r="M308" i="3"/>
  <c r="M311" i="3"/>
  <c r="M315" i="3"/>
  <c r="M318" i="3"/>
  <c r="M322" i="3"/>
  <c r="M327" i="3"/>
  <c r="M330" i="3"/>
  <c r="M12" i="3"/>
  <c r="M14" i="3"/>
  <c r="M17" i="3"/>
  <c r="M21" i="3"/>
  <c r="M26" i="3"/>
  <c r="M30" i="3"/>
  <c r="M35" i="3"/>
  <c r="M38" i="3"/>
  <c r="M42" i="3"/>
  <c r="M48" i="3"/>
  <c r="M49" i="3"/>
  <c r="M55" i="3"/>
  <c r="M59" i="3"/>
  <c r="M64" i="3"/>
  <c r="M67" i="3"/>
  <c r="M71" i="3"/>
  <c r="M75" i="3"/>
  <c r="M78" i="3"/>
  <c r="M81" i="3"/>
  <c r="M88" i="3"/>
  <c r="M90" i="3"/>
  <c r="M96" i="3"/>
  <c r="M99" i="3"/>
  <c r="M104" i="3"/>
  <c r="M108" i="3"/>
  <c r="M109" i="3"/>
  <c r="M115" i="3"/>
  <c r="M120" i="3"/>
  <c r="M122" i="3"/>
  <c r="M125" i="3"/>
  <c r="M130" i="3"/>
  <c r="M8" i="3"/>
  <c r="M136" i="3"/>
  <c r="M140" i="3"/>
  <c r="M142" i="3"/>
  <c r="M147" i="3"/>
  <c r="M149" i="3"/>
  <c r="M156" i="3"/>
  <c r="M157" i="3"/>
  <c r="M162" i="3"/>
  <c r="M168" i="3"/>
  <c r="M171" i="3"/>
  <c r="M173" i="3"/>
  <c r="M177" i="3"/>
  <c r="M184" i="3"/>
  <c r="M186" i="3"/>
  <c r="M189" i="3"/>
  <c r="M195" i="3"/>
  <c r="M197" i="3"/>
  <c r="M202" i="3"/>
  <c r="M207" i="3"/>
  <c r="M210" i="3"/>
  <c r="M213" i="3"/>
  <c r="M218" i="3"/>
  <c r="M221" i="3"/>
  <c r="M226" i="3"/>
  <c r="M229" i="3"/>
  <c r="M233" i="3"/>
  <c r="M237" i="3"/>
  <c r="M244" i="3"/>
  <c r="M246" i="3"/>
  <c r="M250" i="3"/>
  <c r="M254" i="3"/>
  <c r="M260" i="3"/>
  <c r="M263" i="3"/>
  <c r="M267" i="3"/>
  <c r="M271" i="3"/>
  <c r="M275" i="3"/>
  <c r="M278" i="3"/>
  <c r="M282" i="3"/>
  <c r="M287" i="3"/>
  <c r="M290" i="3"/>
  <c r="M295" i="3"/>
  <c r="M299" i="3"/>
  <c r="M301" i="3"/>
  <c r="M306" i="3"/>
  <c r="M309" i="3"/>
  <c r="M316" i="3"/>
  <c r="M317" i="3"/>
  <c r="M321" i="3"/>
  <c r="M10" i="3"/>
  <c r="M25" i="3"/>
  <c r="M41" i="3"/>
  <c r="M57" i="3"/>
  <c r="M74" i="3"/>
  <c r="M92" i="3"/>
  <c r="M107" i="3"/>
  <c r="M121" i="3"/>
  <c r="M134" i="3"/>
  <c r="M150" i="3"/>
  <c r="M166" i="3"/>
  <c r="M181" i="3"/>
  <c r="M198" i="3"/>
  <c r="M216" i="3"/>
  <c r="M231" i="3"/>
  <c r="M247" i="3"/>
  <c r="M261" i="3"/>
  <c r="M280" i="3"/>
  <c r="M294" i="3"/>
  <c r="M310" i="3"/>
  <c r="M325" i="3"/>
  <c r="M336" i="3"/>
  <c r="M339" i="3"/>
  <c r="M344" i="3"/>
  <c r="M342" i="3"/>
  <c r="M355" i="3"/>
  <c r="M351" i="3"/>
  <c r="M357" i="3"/>
  <c r="M364" i="3"/>
  <c r="M370" i="3"/>
  <c r="M373" i="3"/>
  <c r="M374" i="3"/>
  <c r="M377" i="3"/>
  <c r="M382" i="3"/>
  <c r="M385" i="3"/>
  <c r="M388" i="3"/>
  <c r="M397" i="3"/>
  <c r="M398" i="3"/>
  <c r="M407" i="3"/>
  <c r="M402" i="3"/>
  <c r="M416" i="3"/>
  <c r="M410" i="3"/>
  <c r="M421" i="3"/>
  <c r="M430" i="3"/>
  <c r="M424" i="3"/>
  <c r="M432" i="3"/>
  <c r="M437" i="3"/>
  <c r="M442" i="3"/>
  <c r="M446" i="3"/>
  <c r="M449" i="3"/>
  <c r="M451" i="3"/>
  <c r="M458" i="3"/>
  <c r="M460" i="3"/>
  <c r="M464" i="3"/>
  <c r="M466" i="3"/>
  <c r="M474" i="3"/>
  <c r="M473" i="3"/>
  <c r="M480" i="3"/>
  <c r="M482" i="3"/>
  <c r="M487" i="3"/>
  <c r="M489" i="3"/>
  <c r="M493" i="3"/>
  <c r="M499" i="3"/>
  <c r="M503" i="3"/>
  <c r="M506" i="3"/>
  <c r="M509" i="3"/>
  <c r="M516" i="3"/>
  <c r="M518" i="3"/>
  <c r="M522" i="3"/>
  <c r="M526" i="3"/>
  <c r="M529" i="3"/>
  <c r="M534" i="3"/>
  <c r="M537" i="3"/>
  <c r="M541" i="3"/>
  <c r="M547" i="3"/>
  <c r="M552" i="3"/>
  <c r="M556" i="3"/>
  <c r="M559" i="3"/>
  <c r="M563" i="3"/>
  <c r="M565" i="3"/>
  <c r="M569" i="3"/>
  <c r="M576" i="3"/>
  <c r="M578" i="3"/>
  <c r="M584" i="3"/>
  <c r="M13" i="3"/>
  <c r="M31" i="3"/>
  <c r="M46" i="3"/>
  <c r="M63" i="3"/>
  <c r="M80" i="3"/>
  <c r="M95" i="3"/>
  <c r="M112" i="3"/>
  <c r="M128" i="3"/>
  <c r="M138" i="3"/>
  <c r="M153" i="3"/>
  <c r="M172" i="3"/>
  <c r="M187" i="3"/>
  <c r="M201" i="3"/>
  <c r="M217" i="3"/>
  <c r="M236" i="3"/>
  <c r="M249" i="3"/>
  <c r="M268" i="3"/>
  <c r="M283" i="3"/>
  <c r="M297" i="3"/>
  <c r="M314" i="3"/>
  <c r="M326" i="3"/>
  <c r="M334" i="3"/>
  <c r="M338" i="3"/>
  <c r="M350" i="3"/>
  <c r="M347" i="3"/>
  <c r="M352" i="3"/>
  <c r="M361" i="3"/>
  <c r="M359" i="3"/>
  <c r="M365" i="3"/>
  <c r="M369" i="3"/>
  <c r="M371" i="3"/>
  <c r="M384" i="3"/>
  <c r="M378" i="3"/>
  <c r="M390" i="3"/>
  <c r="M387" i="3"/>
  <c r="M399" i="3"/>
  <c r="M396" i="3"/>
  <c r="M404" i="3"/>
  <c r="M408" i="3"/>
  <c r="M409" i="3"/>
  <c r="M415" i="3"/>
  <c r="M417" i="3"/>
  <c r="M420" i="3"/>
  <c r="M423" i="3"/>
  <c r="M428" i="3"/>
  <c r="M431" i="3"/>
  <c r="M441" i="3"/>
  <c r="M440" i="3"/>
  <c r="M444" i="3"/>
  <c r="M452" i="3"/>
  <c r="M448" i="3"/>
  <c r="M456" i="3"/>
  <c r="M461" i="3"/>
  <c r="M463" i="3"/>
  <c r="M469" i="3"/>
  <c r="M470" i="3"/>
  <c r="M477" i="3"/>
  <c r="M481" i="3"/>
  <c r="M485" i="3"/>
  <c r="M492" i="3"/>
  <c r="M496" i="3"/>
  <c r="M500" i="3"/>
  <c r="M502" i="3"/>
  <c r="M507" i="3"/>
  <c r="M512" i="3"/>
  <c r="M515" i="3"/>
  <c r="M520" i="3"/>
  <c r="M524" i="3"/>
  <c r="M527" i="3"/>
  <c r="M531" i="3"/>
  <c r="M533" i="3"/>
  <c r="M540" i="3"/>
  <c r="M543" i="3"/>
  <c r="M548" i="3"/>
  <c r="M549" i="3"/>
  <c r="M554" i="3"/>
  <c r="M557" i="3"/>
  <c r="M562" i="3"/>
  <c r="M567" i="3"/>
  <c r="M572" i="3"/>
  <c r="M574" i="3"/>
  <c r="M577" i="3"/>
  <c r="M583" i="3"/>
  <c r="M588" i="3"/>
  <c r="M592" i="3"/>
  <c r="M19" i="3"/>
  <c r="M33" i="3"/>
  <c r="M51" i="3"/>
  <c r="M68" i="3"/>
  <c r="M82" i="3"/>
  <c r="M100" i="3"/>
  <c r="M113" i="3"/>
  <c r="M132" i="3"/>
  <c r="M143" i="3"/>
  <c r="M159" i="3"/>
  <c r="M174" i="3"/>
  <c r="M192" i="3"/>
  <c r="M208" i="3"/>
  <c r="M223" i="3"/>
  <c r="M238" i="3"/>
  <c r="M255" i="3"/>
  <c r="M269" i="3"/>
  <c r="M285" i="3"/>
  <c r="M302" i="3"/>
  <c r="M319" i="3"/>
  <c r="M329" i="3"/>
  <c r="M335" i="3"/>
  <c r="M349" i="3"/>
  <c r="M346" i="3"/>
  <c r="M345" i="3"/>
  <c r="M356" i="3"/>
  <c r="M358" i="3"/>
  <c r="M360" i="3"/>
  <c r="M367" i="3"/>
  <c r="M368" i="3"/>
  <c r="M376" i="3"/>
  <c r="M379" i="3"/>
  <c r="M381" i="3"/>
  <c r="M389" i="3"/>
  <c r="M391" i="3"/>
  <c r="M395" i="3"/>
  <c r="M400" i="3"/>
  <c r="M401" i="3"/>
  <c r="M405" i="3"/>
  <c r="M413" i="3"/>
  <c r="M414" i="3"/>
  <c r="M419" i="3"/>
  <c r="M422" i="3"/>
  <c r="M426" i="3"/>
  <c r="M427" i="3"/>
  <c r="M434" i="3"/>
  <c r="M443" i="3"/>
  <c r="M438" i="3"/>
  <c r="M447" i="3"/>
  <c r="M453" i="3"/>
  <c r="M450" i="3"/>
  <c r="M457" i="3"/>
  <c r="M462" i="3"/>
  <c r="M467" i="3"/>
  <c r="M475" i="3"/>
  <c r="M472" i="3"/>
  <c r="M479" i="3"/>
  <c r="M483" i="3"/>
  <c r="M488" i="3"/>
  <c r="M491" i="3"/>
  <c r="M494" i="3"/>
  <c r="M497" i="3"/>
  <c r="M504" i="3"/>
  <c r="M508" i="3"/>
  <c r="M511" i="3"/>
  <c r="M513" i="3"/>
  <c r="M517" i="3"/>
  <c r="M523" i="3"/>
  <c r="M528" i="3"/>
  <c r="M532" i="3"/>
  <c r="M535" i="3"/>
  <c r="M539" i="3"/>
  <c r="M544" i="3"/>
  <c r="M546" i="3"/>
  <c r="M550" i="3"/>
  <c r="M553" i="3"/>
  <c r="M558" i="3"/>
  <c r="M561" i="3"/>
  <c r="M568" i="3"/>
  <c r="M570" i="3"/>
  <c r="M573" i="3"/>
  <c r="M580" i="3"/>
  <c r="M581" i="3"/>
  <c r="M585" i="3"/>
  <c r="M591" i="3"/>
  <c r="M23" i="3"/>
  <c r="M86" i="3"/>
  <c r="M145" i="3"/>
  <c r="M211" i="3"/>
  <c r="M273" i="3"/>
  <c r="M331" i="3"/>
  <c r="M353" i="3"/>
  <c r="M366" i="3"/>
  <c r="M383" i="3"/>
  <c r="M393" i="3"/>
  <c r="M412" i="3"/>
  <c r="M433" i="3"/>
  <c r="M445" i="3"/>
  <c r="M465" i="3"/>
  <c r="M478" i="3"/>
  <c r="M495" i="3"/>
  <c r="M510" i="3"/>
  <c r="M525" i="3"/>
  <c r="M542" i="3"/>
  <c r="M560" i="3"/>
  <c r="M575" i="3"/>
  <c r="M587" i="3"/>
  <c r="M593" i="3"/>
  <c r="M600" i="3"/>
  <c r="M602" i="3"/>
  <c r="M605" i="3"/>
  <c r="M610" i="3"/>
  <c r="M613" i="3"/>
  <c r="M615" i="3"/>
  <c r="M624" i="3"/>
  <c r="M626" i="3"/>
  <c r="M629" i="3"/>
  <c r="M636" i="3"/>
  <c r="M643" i="3"/>
  <c r="M40" i="3"/>
  <c r="M101" i="3"/>
  <c r="M161" i="3"/>
  <c r="M225" i="3"/>
  <c r="M289" i="3"/>
  <c r="M337" i="3"/>
  <c r="M354" i="3"/>
  <c r="M375" i="3"/>
  <c r="M386" i="3"/>
  <c r="M406" i="3"/>
  <c r="M418" i="3"/>
  <c r="M435" i="3"/>
  <c r="M454" i="3"/>
  <c r="M468" i="3"/>
  <c r="M484" i="3"/>
  <c r="M498" i="3"/>
  <c r="M514" i="3"/>
  <c r="M530" i="3"/>
  <c r="M545" i="3"/>
  <c r="M564" i="3"/>
  <c r="M579" i="3"/>
  <c r="M589" i="3"/>
  <c r="M596" i="3"/>
  <c r="M597" i="3"/>
  <c r="M603" i="3"/>
  <c r="M607" i="3"/>
  <c r="M611" i="3"/>
  <c r="M617" i="3"/>
  <c r="M619" i="3"/>
  <c r="M625" i="3"/>
  <c r="M628" i="3"/>
  <c r="M630" i="3"/>
  <c r="M632" i="3"/>
  <c r="M637" i="3"/>
  <c r="M639" i="3"/>
  <c r="M644" i="3"/>
  <c r="M634" i="3"/>
  <c r="M642" i="3"/>
  <c r="M56" i="3"/>
  <c r="M117" i="3"/>
  <c r="M180" i="3"/>
  <c r="M242" i="3"/>
  <c r="M307" i="3"/>
  <c r="M348" i="3"/>
  <c r="M363" i="3"/>
  <c r="M372" i="3"/>
  <c r="M392" i="3"/>
  <c r="M403" i="3"/>
  <c r="M425" i="3"/>
  <c r="M436" i="3"/>
  <c r="M455" i="3"/>
  <c r="M476" i="3"/>
  <c r="M486" i="3"/>
  <c r="M501" i="3"/>
  <c r="M519" i="3"/>
  <c r="M536" i="3"/>
  <c r="M551" i="3"/>
  <c r="M566" i="3"/>
  <c r="M582" i="3"/>
  <c r="M590" i="3"/>
  <c r="M594" i="3"/>
  <c r="M598" i="3"/>
  <c r="M604" i="3"/>
  <c r="M608" i="3"/>
  <c r="M614" i="3"/>
  <c r="M616" i="3"/>
  <c r="M621" i="3"/>
  <c r="M622" i="3"/>
  <c r="M627" i="3"/>
  <c r="M4" i="3"/>
  <c r="M635" i="3"/>
  <c r="M645" i="3"/>
  <c r="M72" i="3"/>
  <c r="M6" i="3"/>
  <c r="M193" i="3"/>
  <c r="M257" i="3"/>
  <c r="M323" i="3"/>
  <c r="M343" i="3"/>
  <c r="M362" i="3"/>
  <c r="M380" i="3"/>
  <c r="M394" i="3"/>
  <c r="M411" i="3"/>
  <c r="M429" i="3"/>
  <c r="M439" i="3"/>
  <c r="M459" i="3"/>
  <c r="M471" i="3"/>
  <c r="M490" i="3"/>
  <c r="M505" i="3"/>
  <c r="M521" i="3"/>
  <c r="M538" i="3"/>
  <c r="M555" i="3"/>
  <c r="M571" i="3"/>
  <c r="M586" i="3"/>
  <c r="M595" i="3"/>
  <c r="M599" i="3"/>
  <c r="M601" i="3"/>
  <c r="M606" i="3"/>
  <c r="M609" i="3"/>
  <c r="M612" i="3"/>
  <c r="M618" i="3"/>
  <c r="M620" i="3"/>
  <c r="M623" i="3"/>
  <c r="M631" i="3"/>
  <c r="M3" i="3"/>
  <c r="M633" i="3"/>
  <c r="M638" i="3"/>
  <c r="M641" i="3"/>
  <c r="M646" i="3"/>
  <c r="M2" i="3"/>
  <c r="M640" i="3"/>
</calcChain>
</file>

<file path=xl/sharedStrings.xml><?xml version="1.0" encoding="utf-8"?>
<sst xmlns="http://schemas.openxmlformats.org/spreadsheetml/2006/main" count="2701" uniqueCount="1071">
  <si>
    <t>ID</t>
  </si>
  <si>
    <t>Symbol</t>
  </si>
  <si>
    <t>Description</t>
  </si>
  <si>
    <t>On/Off</t>
  </si>
  <si>
    <t>Random</t>
  </si>
  <si>
    <t>VOICELESS BILABIAL PLOSIVE</t>
  </si>
  <si>
    <t>VOICED BILABIAL PLOSIVE</t>
  </si>
  <si>
    <t>VOICELESS DENTAL/ALVEOLAR PLOSIVE</t>
  </si>
  <si>
    <t>VOICED DENTAL/ALVEOLAR PLOSIVE</t>
  </si>
  <si>
    <t>VOICELESS RETROFLEX PLOSIVE</t>
  </si>
  <si>
    <t>VOICED RETROFLEX PLOSIVE</t>
  </si>
  <si>
    <t>VOICELESS PALATAL PLOSIVE</t>
  </si>
  <si>
    <t>VOICED PALATAL PLOSIVE</t>
  </si>
  <si>
    <t>VOICELESS VELAR PLOSIVE</t>
  </si>
  <si>
    <t>VOICED VELAR PLOSIVE</t>
  </si>
  <si>
    <t>VOICELESS UVULAR PLOSIVE</t>
  </si>
  <si>
    <t>VOICED UVULAR PLOSIVE</t>
  </si>
  <si>
    <t>GLOTTAL PLOSIVE</t>
  </si>
  <si>
    <t>VOICED BILABIAL NASAL</t>
  </si>
  <si>
    <t>VOICED LABIODENTAL NASAL</t>
  </si>
  <si>
    <t>VOICED DENTAL/ALVEOLAR NASAL</t>
  </si>
  <si>
    <t>VOICED RETROFLEX NASAL</t>
  </si>
  <si>
    <t>VOICED PALATAL NASAL</t>
  </si>
  <si>
    <t>VOICED VELAR NASAL</t>
  </si>
  <si>
    <t>VOICED UVULAR NASAL</t>
  </si>
  <si>
    <t>VOICED BILABIAL TRILL</t>
  </si>
  <si>
    <t>VOICED DENTAL/ALVEOLAR TRILL</t>
  </si>
  <si>
    <t>VOICED UVULAR TRILL</t>
  </si>
  <si>
    <t>VOICED LABIODENTAL FLAP</t>
  </si>
  <si>
    <t>VOICED DENTAL/ALVEOLAR TAP</t>
  </si>
  <si>
    <t>VOICED RETROFLEX FLAP</t>
  </si>
  <si>
    <t>VOICELESS BILABIAL FRICATIVE</t>
  </si>
  <si>
    <t>VOICED BILABIAL FRICATIVE</t>
  </si>
  <si>
    <t>VOICELESS LABIODENTAL FRICATIVE</t>
  </si>
  <si>
    <t>VOICED LABIODENTAL FRICATIVE</t>
  </si>
  <si>
    <t>VOICELESS DENTAL FRICATIVE</t>
  </si>
  <si>
    <t>VOICED DENTAL FRICATIVE</t>
  </si>
  <si>
    <t>VOICELESS ALVEOLAR FRICATIVE</t>
  </si>
  <si>
    <t>VOICED ALVEOLAR FRICATIVE</t>
  </si>
  <si>
    <t>VOICELESS POSTALVEOLAR FRICATIVE</t>
  </si>
  <si>
    <t>VOICED POSTALVEOLAR FRICATIVE</t>
  </si>
  <si>
    <t>VOICELESS RETROFLEX FRICATIVE</t>
  </si>
  <si>
    <t>VOICED RETROFLEX FRICATIVE</t>
  </si>
  <si>
    <t>VOICELESS PALATAL FRICATIVE</t>
  </si>
  <si>
    <t>VOICED PALATAL FRICATIVE</t>
  </si>
  <si>
    <t>VOICELESS VELAR FRICATIVE</t>
  </si>
  <si>
    <t>VOICED VELAR FRICATIVE</t>
  </si>
  <si>
    <t>VOICELESS UVULAR FRICATIVE</t>
  </si>
  <si>
    <t>VOICED UVULAR FRICATIVE</t>
  </si>
  <si>
    <t>VOICELESS PHARYNGEAL FRICATIVE</t>
  </si>
  <si>
    <t>VOICED PHARYNGEAL FRICATIVE/APPROXIMANT</t>
  </si>
  <si>
    <t>VOICELESS GLOTTAL FRICATIVE</t>
  </si>
  <si>
    <t>VOICED GLOTTAL FRICATIVE</t>
  </si>
  <si>
    <t>VOICELESS DENTAL/ALVEOLAR LATERAL FRICATIVE</t>
  </si>
  <si>
    <t>VOICED DENTAL/ALVEOLAR LATERAL FRICATIVE</t>
  </si>
  <si>
    <t>VOICED LABIODENTAL APPROXIMANT</t>
  </si>
  <si>
    <t>VOICED DENTAL/ALVEOLAR APPROXIMANT</t>
  </si>
  <si>
    <t>VOICED RETROFLEX APPROXIMANT</t>
  </si>
  <si>
    <t>VOICED PALATAL APPROXIMANT</t>
  </si>
  <si>
    <t>VOICED VELAR APPROXIMANT</t>
  </si>
  <si>
    <t>VOICED DENTAL/ALVEOLAR LATERAL APPROXIMANT</t>
  </si>
  <si>
    <t>VOICED RETROFLEX LATERAL APPROXIMANT</t>
  </si>
  <si>
    <t>VOICED PALATAL LATERAL APPROXIMANT</t>
  </si>
  <si>
    <t>VOICED VELAR LATERAL APPROXIMANT</t>
  </si>
  <si>
    <t>BILABIAL CLICK</t>
  </si>
  <si>
    <t>VOICED BILABIAL IMPLOSIVE</t>
  </si>
  <si>
    <t>EJECTIVE</t>
  </si>
  <si>
    <t>DENTAL CLICK</t>
  </si>
  <si>
    <t>VOICED DENTAL/ALVEOLAR IMPLOSIVE</t>
  </si>
  <si>
    <t>BILABIAL EJECTIVE</t>
  </si>
  <si>
    <t>(POST)ALVEOLAR CLICK</t>
  </si>
  <si>
    <t>VOICED PALATAL IMPLOSIVE</t>
  </si>
  <si>
    <t>DENTAL/ALVEOLAR EJECTIVE</t>
  </si>
  <si>
    <t>PALATOALVEOLAR CLICK</t>
  </si>
  <si>
    <t>VOICED VELAR IMPLOSIVE</t>
  </si>
  <si>
    <t>VELAR EJECTIVE</t>
  </si>
  <si>
    <t>ALVEOLAR LATERAL CLICK</t>
  </si>
  <si>
    <t>VOICED UVULAR IMPLOSIVE</t>
  </si>
  <si>
    <t>ALVEOLAR FRICATIVE EJECTIVE</t>
  </si>
  <si>
    <t>VOICELESS LABIAL-VELAR FRICATIVE</t>
  </si>
  <si>
    <t>VOICELESS ALVEOLO-PALATAL FRICATIVE</t>
  </si>
  <si>
    <t>VOICED ALVEOLO-PALATAL FRICATIVE</t>
  </si>
  <si>
    <t>VOICED LABIAL-VELAR APPROXIMANT</t>
  </si>
  <si>
    <t>VOICED ALVEOLAR LATERAL FLAP</t>
  </si>
  <si>
    <t>VOICED LABIAL-PALATAL APPROXIMANT</t>
  </si>
  <si>
    <t>VOICELESS POSTALVEOLAR-VELAR FRICATIVE</t>
  </si>
  <si>
    <t>VOICELESS EPIGLOTTAL FRICATIVE</t>
  </si>
  <si>
    <t>VOICED EPIGLOTTAL FRICATIVE/APPROXIMANT</t>
  </si>
  <si>
    <t>EPIGLOTTAL PLOSIVE</t>
  </si>
  <si>
    <t>TIE BAR (BELOW)</t>
  </si>
  <si>
    <t>TIE BAR (ABOVE)</t>
  </si>
  <si>
    <t>VOICELESS</t>
  </si>
  <si>
    <t>BREATHY VOICED</t>
  </si>
  <si>
    <t>DENTAL</t>
  </si>
  <si>
    <t>VOICED</t>
  </si>
  <si>
    <t>CREAKY VOICED</t>
  </si>
  <si>
    <t>APICAL</t>
  </si>
  <si>
    <t>ASPIRATED</t>
  </si>
  <si>
    <t>LINGUOLABIAL</t>
  </si>
  <si>
    <t>LAMINAL</t>
  </si>
  <si>
    <t>MORE ROUNDED</t>
  </si>
  <si>
    <t>LABIALIZED</t>
  </si>
  <si>
    <t>NASALIZED</t>
  </si>
  <si>
    <t>LESS ROUNDED</t>
  </si>
  <si>
    <t>PALATALIZED</t>
  </si>
  <si>
    <t>NASAL RELEASE</t>
  </si>
  <si>
    <t>ADVANCED</t>
  </si>
  <si>
    <t>VELARIZED</t>
  </si>
  <si>
    <t>LATERAL RELEASE</t>
  </si>
  <si>
    <t>RETRACTED</t>
  </si>
  <si>
    <t>PHARYNGEALIZED</t>
  </si>
  <si>
    <t>NO AUDIBLE RELEASE</t>
  </si>
  <si>
    <t>CENTRALIZED</t>
  </si>
  <si>
    <t>VELARIZED OR PHARYNGEALIZED</t>
  </si>
  <si>
    <t>MID-CENTRALIZED</t>
  </si>
  <si>
    <t>RAISED</t>
  </si>
  <si>
    <t>SYLLABIC</t>
  </si>
  <si>
    <t>LOWERED</t>
  </si>
  <si>
    <t>NON-SYLLABIC</t>
  </si>
  <si>
    <t>ADVANCED TONGUE ROOT</t>
  </si>
  <si>
    <t>RHOTICITY</t>
  </si>
  <si>
    <t>RETRACTED TONGUE ROOT</t>
  </si>
  <si>
    <t>CLOSE FRONT UNROUNDED VOWEL</t>
  </si>
  <si>
    <t>CLOSE FRONT ROUNDED VOWEL</t>
  </si>
  <si>
    <t>CLOSE CENTRAL UNROUNDED VOWEL</t>
  </si>
  <si>
    <t>CLOSE CENTRAL ROUNDED VOWEL</t>
  </si>
  <si>
    <t>CLOSE BACK UNROUNDED VOWEL</t>
  </si>
  <si>
    <t>CLOSE BACK ROUNDED VOWEL</t>
  </si>
  <si>
    <t>NEAR-CLOSE NEAR-FRONT UNROUNDED VOWEL</t>
  </si>
  <si>
    <t>NEAR-CLOSE NEAR-FRONT ROUNDED VOWEL</t>
  </si>
  <si>
    <t>NEAR-CLOSE NEAR-BACK ROUNDED VOWEL</t>
  </si>
  <si>
    <t>CLOSE-MID FRONT UNROUNDED VOWEL</t>
  </si>
  <si>
    <t>CLOSE-MID FRONT ROUNDED VOWEL</t>
  </si>
  <si>
    <t>CLOSE-MID CENTRAL UNROUNDED VOWEL</t>
  </si>
  <si>
    <t>CLOSE-MID CENTRAL ROUNDED VOWEL</t>
  </si>
  <si>
    <t>CLOSE-MID BACK UNROUNDED VOWEL</t>
  </si>
  <si>
    <t>CLOSE-MID BACK ROUNDED VOWEL</t>
  </si>
  <si>
    <t>MID CENTRAL VOWEL</t>
  </si>
  <si>
    <t>OPEN-MID FRONT UNROUNDED VOWEL</t>
  </si>
  <si>
    <t>OPEN-MID FRONT ROUNDED VOWEL</t>
  </si>
  <si>
    <t>OPEN-MID CENTRAL UNROUNDED VOWEL</t>
  </si>
  <si>
    <t>OPEN-MID CENTRAL ROUNDED VOWEL</t>
  </si>
  <si>
    <t>OPEN-MID BACK UNROUNDED VOWEL</t>
  </si>
  <si>
    <t>OPEN-MID BACK ROUNDED VOWEL</t>
  </si>
  <si>
    <t>NEAR-OPEN FRONT UNROUNDED VOWEL</t>
  </si>
  <si>
    <t>NEAR-OPEN CENTRAL VOWEL</t>
  </si>
  <si>
    <t>OPEN FRONT UNROUNDED VOWEL</t>
  </si>
  <si>
    <t>OPEN FRONT ROUNDED VOWEL</t>
  </si>
  <si>
    <t>OPEN BACK UNROUNDED VOWEL</t>
  </si>
  <si>
    <t>OPEN BACK ROUNDED VOWEL</t>
  </si>
  <si>
    <t>PRIMARY STRESS</t>
  </si>
  <si>
    <t>SECONDARY STRESS</t>
  </si>
  <si>
    <t>LONG</t>
  </si>
  <si>
    <t>HALF-LONG</t>
  </si>
  <si>
    <t>EXTRA-SHORT</t>
  </si>
  <si>
    <t>MINOR (FOOT) GROUP</t>
  </si>
  <si>
    <t>MAJOR (INTONATION) GROUP</t>
  </si>
  <si>
    <t>SYLLABLE BREAK</t>
  </si>
  <si>
    <t>LINKING (ABSENCE OF A BREAK)</t>
  </si>
  <si>
    <t>EXTRA HIGH LEVEL TONE (ACCENT MARK)</t>
  </si>
  <si>
    <t>EXTRA HIGH LEVEL TONE (CHAO LETTER)</t>
  </si>
  <si>
    <t>RISING CONTOUR TONE (ACCENT MARK)</t>
  </si>
  <si>
    <t>RISING CONTOUR TONE (CHAO LETTER)</t>
  </si>
  <si>
    <t>HIGH LEVEL TONE (ACCENT MARK)</t>
  </si>
  <si>
    <t>HIGH LEVEL TONE (CHAO LETTER)</t>
  </si>
  <si>
    <t>FALLING CONTOUR TONE (ACCENT MARK)</t>
  </si>
  <si>
    <t>FALLING CONTOUR TONE (CHAO LETTER)</t>
  </si>
  <si>
    <t>MID LEVEL TONE (ACCENT MARK)</t>
  </si>
  <si>
    <t>MID LEVEL TONE (CHAO LETTER)</t>
  </si>
  <si>
    <t>HIGH RISING CONTOUR TONE (ACCENT MARK)</t>
  </si>
  <si>
    <t>HIGH RISING CONTOUR TONE (CHAO LETTER)</t>
  </si>
  <si>
    <t>LOW LEVEL TONE (ACCENT MARK)</t>
  </si>
  <si>
    <t>LOW LEVEL TONE (CHAO LETTER)</t>
  </si>
  <si>
    <t>LOW RISING CONTOUR TONE (ACCENT MARK)</t>
  </si>
  <si>
    <t>LOW RISING CONTOUR TONE (CHAO LETTER)</t>
  </si>
  <si>
    <t>EXTRA LOW LEVEL TONE (ACCENT MARK)</t>
  </si>
  <si>
    <t>EXTRA LOW LEVEL TONE (CHAO LETTER)</t>
  </si>
  <si>
    <t>RISING-FALLING CONTOUR TONE (ACCENT MARK)</t>
  </si>
  <si>
    <t>RISING-FALLING CONTOUR TONE (CHAO LETTER)</t>
  </si>
  <si>
    <t>DOWNSTEP</t>
  </si>
  <si>
    <t>GLOBAL RISE</t>
  </si>
  <si>
    <t>UPSTEP</t>
  </si>
  <si>
    <t>GLOBAL FALL</t>
  </si>
  <si>
    <t>CONSONANTS (PULMONIC)</t>
  </si>
  <si>
    <t>Weighting</t>
  </si>
  <si>
    <t>CONSONANTS (NON-PULMONIC)</t>
  </si>
  <si>
    <t>OTHER SYMBOLS</t>
  </si>
  <si>
    <t>DIACRITICS</t>
  </si>
  <si>
    <t>a</t>
  </si>
  <si>
    <t>e</t>
  </si>
  <si>
    <t>i</t>
  </si>
  <si>
    <t>l</t>
  </si>
  <si>
    <t>VOWELS</t>
  </si>
  <si>
    <t>SUPRASEGMENTALS</t>
  </si>
  <si>
    <t>TONES AND WORD ACCENTS</t>
  </si>
  <si>
    <t>h</t>
  </si>
  <si>
    <t>ˈ</t>
  </si>
  <si>
    <t>ˌ</t>
  </si>
  <si>
    <t xml:space="preserve"> ː </t>
  </si>
  <si>
    <t xml:space="preserve"> ˑ </t>
  </si>
  <si>
    <t xml:space="preserve"> | </t>
  </si>
  <si>
    <t xml:space="preserve"> ‖ </t>
  </si>
  <si>
    <t xml:space="preserve"> . </t>
  </si>
  <si>
    <t xml:space="preserve"> ̆</t>
  </si>
  <si>
    <t>˥</t>
  </si>
  <si>
    <t>˩˥</t>
  </si>
  <si>
    <t>˦</t>
  </si>
  <si>
    <t>˥˩</t>
  </si>
  <si>
    <t>˧</t>
  </si>
  <si>
    <t>˧˥</t>
  </si>
  <si>
    <t>˨</t>
  </si>
  <si>
    <t>˩˧</t>
  </si>
  <si>
    <t>˩</t>
  </si>
  <si>
    <t>˧˦˨</t>
  </si>
  <si>
    <t>ꜜ</t>
  </si>
  <si>
    <t>↗</t>
  </si>
  <si>
    <t>ꜛ</t>
  </si>
  <si>
    <t>↘</t>
  </si>
  <si>
    <t xml:space="preserve"> ̋</t>
  </si>
  <si>
    <t>p</t>
  </si>
  <si>
    <t>b</t>
  </si>
  <si>
    <t>t</t>
  </si>
  <si>
    <t>d</t>
  </si>
  <si>
    <t>ʈ</t>
  </si>
  <si>
    <t>ɖ</t>
  </si>
  <si>
    <t>c</t>
  </si>
  <si>
    <t>ɟ</t>
  </si>
  <si>
    <t>k</t>
  </si>
  <si>
    <t>ɡ</t>
  </si>
  <si>
    <t>q</t>
  </si>
  <si>
    <t>ɢ</t>
  </si>
  <si>
    <t>ʔ</t>
  </si>
  <si>
    <t>m</t>
  </si>
  <si>
    <t>ɱ</t>
  </si>
  <si>
    <t>n</t>
  </si>
  <si>
    <t>ɳ</t>
  </si>
  <si>
    <t>ɲ</t>
  </si>
  <si>
    <t>ŋ</t>
  </si>
  <si>
    <t>ɴ</t>
  </si>
  <si>
    <t>ʙ</t>
  </si>
  <si>
    <t>r</t>
  </si>
  <si>
    <t>ʀ</t>
  </si>
  <si>
    <t>ⱱ</t>
  </si>
  <si>
    <t>ɾ</t>
  </si>
  <si>
    <t>ɽ</t>
  </si>
  <si>
    <t>ɸ</t>
  </si>
  <si>
    <t>β</t>
  </si>
  <si>
    <t>f</t>
  </si>
  <si>
    <t>v</t>
  </si>
  <si>
    <t>θ</t>
  </si>
  <si>
    <t>ð</t>
  </si>
  <si>
    <t>s</t>
  </si>
  <si>
    <t>z</t>
  </si>
  <si>
    <t>ʃ</t>
  </si>
  <si>
    <t>ʒ</t>
  </si>
  <si>
    <t>ʂ</t>
  </si>
  <si>
    <t>ʐ</t>
  </si>
  <si>
    <t>ç</t>
  </si>
  <si>
    <t>ʝ</t>
  </si>
  <si>
    <t>x</t>
  </si>
  <si>
    <t>ɣ</t>
  </si>
  <si>
    <t>χ</t>
  </si>
  <si>
    <t>ʁ</t>
  </si>
  <si>
    <t>ħ</t>
  </si>
  <si>
    <t>ʕ</t>
  </si>
  <si>
    <t>ɦ</t>
  </si>
  <si>
    <t>ɬ</t>
  </si>
  <si>
    <t>ɮ</t>
  </si>
  <si>
    <t>ʋ</t>
  </si>
  <si>
    <t>ɹ</t>
  </si>
  <si>
    <t>ɻ</t>
  </si>
  <si>
    <t>j</t>
  </si>
  <si>
    <t>ɰ</t>
  </si>
  <si>
    <t>ɭ</t>
  </si>
  <si>
    <t>ʎ</t>
  </si>
  <si>
    <t>ʟ</t>
  </si>
  <si>
    <t>ʘ</t>
  </si>
  <si>
    <t>ɓ</t>
  </si>
  <si>
    <t>ʼ</t>
  </si>
  <si>
    <t>ǀ</t>
  </si>
  <si>
    <t>ɗ</t>
  </si>
  <si>
    <t>pʼ</t>
  </si>
  <si>
    <t>ʍ</t>
  </si>
  <si>
    <t>ǃ</t>
  </si>
  <si>
    <t>ɕ</t>
  </si>
  <si>
    <t>y</t>
  </si>
  <si>
    <t>ʄ</t>
  </si>
  <si>
    <t>ʑ</t>
  </si>
  <si>
    <t>ɨ</t>
  </si>
  <si>
    <t>tʼ</t>
  </si>
  <si>
    <t>w</t>
  </si>
  <si>
    <t>ʉ</t>
  </si>
  <si>
    <t>ǂ</t>
  </si>
  <si>
    <t>ɺ</t>
  </si>
  <si>
    <t>ɯ</t>
  </si>
  <si>
    <t>ɠ</t>
  </si>
  <si>
    <t>ɥ</t>
  </si>
  <si>
    <t>u</t>
  </si>
  <si>
    <t>kʼ</t>
  </si>
  <si>
    <t>ɧ</t>
  </si>
  <si>
    <t>ʰ</t>
  </si>
  <si>
    <t>ɪ</t>
  </si>
  <si>
    <t>ǁ</t>
  </si>
  <si>
    <t>ʜ</t>
  </si>
  <si>
    <t>ʏ</t>
  </si>
  <si>
    <t>ʛ</t>
  </si>
  <si>
    <t>ʢ</t>
  </si>
  <si>
    <t>ʊ</t>
  </si>
  <si>
    <t>sʼ</t>
  </si>
  <si>
    <t>ʡ</t>
  </si>
  <si>
    <t>ʷ</t>
  </si>
  <si>
    <t>ø</t>
  </si>
  <si>
    <t>ɘ</t>
  </si>
  <si>
    <t>ɵ</t>
  </si>
  <si>
    <t>ʲ</t>
  </si>
  <si>
    <t>ɤ</t>
  </si>
  <si>
    <t>ⁿ</t>
  </si>
  <si>
    <t>o</t>
  </si>
  <si>
    <t>ə</t>
  </si>
  <si>
    <t>ˠ</t>
  </si>
  <si>
    <t>ɛ</t>
  </si>
  <si>
    <t>ˡ</t>
  </si>
  <si>
    <t>œ</t>
  </si>
  <si>
    <t>ɜ</t>
  </si>
  <si>
    <t>ˤ</t>
  </si>
  <si>
    <t>ɞ</t>
  </si>
  <si>
    <t>ʌ</t>
  </si>
  <si>
    <t>ɔ</t>
  </si>
  <si>
    <t>æ</t>
  </si>
  <si>
    <t>ɐ</t>
  </si>
  <si>
    <t>ɶ</t>
  </si>
  <si>
    <t>ɑ</t>
  </si>
  <si>
    <t>ɒ</t>
  </si>
  <si>
    <t xml:space="preserve"> ͜</t>
  </si>
  <si>
    <t xml:space="preserve"> ͡</t>
  </si>
  <si>
    <t xml:space="preserve"> ̥</t>
  </si>
  <si>
    <t xml:space="preserve"> ̤</t>
  </si>
  <si>
    <t xml:space="preserve"> ̪</t>
  </si>
  <si>
    <t xml:space="preserve"> ̬</t>
  </si>
  <si>
    <t xml:space="preserve"> ̰</t>
  </si>
  <si>
    <t xml:space="preserve"> ̺</t>
  </si>
  <si>
    <t xml:space="preserve"> ̼</t>
  </si>
  <si>
    <t xml:space="preserve"> ̻</t>
  </si>
  <si>
    <t xml:space="preserve"> ̹</t>
  </si>
  <si>
    <t xml:space="preserve"> ̃</t>
  </si>
  <si>
    <t xml:space="preserve"> ̜</t>
  </si>
  <si>
    <t xml:space="preserve"> ̟</t>
  </si>
  <si>
    <t xml:space="preserve"> ̠</t>
  </si>
  <si>
    <t xml:space="preserve"> ˞ </t>
  </si>
  <si>
    <t xml:space="preserve"> ̚</t>
  </si>
  <si>
    <t xml:space="preserve"> ̈</t>
  </si>
  <si>
    <t xml:space="preserve"> ̴</t>
  </si>
  <si>
    <t xml:space="preserve"> ̽</t>
  </si>
  <si>
    <t xml:space="preserve"> ̝</t>
  </si>
  <si>
    <t xml:space="preserve"> ̩</t>
  </si>
  <si>
    <t xml:space="preserve"> ̞</t>
  </si>
  <si>
    <t xml:space="preserve"> ̯</t>
  </si>
  <si>
    <t xml:space="preserve"> ̘</t>
  </si>
  <si>
    <t xml:space="preserve"> ̙</t>
  </si>
  <si>
    <t xml:space="preserve">  ͜  </t>
  </si>
  <si>
    <t xml:space="preserve"> ̌</t>
  </si>
  <si>
    <t xml:space="preserve"> ́</t>
  </si>
  <si>
    <t xml:space="preserve"> ̂</t>
  </si>
  <si>
    <t xml:space="preserve"> ̄</t>
  </si>
  <si>
    <t xml:space="preserve"> ᷄</t>
  </si>
  <si>
    <t xml:space="preserve"> ̀</t>
  </si>
  <si>
    <t xml:space="preserve"> ᷅</t>
  </si>
  <si>
    <t xml:space="preserve"> ̏</t>
  </si>
  <si>
    <t xml:space="preserve"> ᷈</t>
  </si>
  <si>
    <t>Selected ID</t>
  </si>
  <si>
    <t>Audio</t>
  </si>
  <si>
    <t>Extension</t>
  </si>
  <si>
    <t>MP3</t>
  </si>
  <si>
    <t>J. House</t>
  </si>
  <si>
    <t/>
  </si>
  <si>
    <t>https://www.internationalphoneticassociation.org/IPAcharts/inter_chart_2018/sounds/JH/025B.mp3</t>
  </si>
  <si>
    <t>P. Ladefoged</t>
  </si>
  <si>
    <t>https://www.internationalphoneticassociation.org/IPAcharts/inter_chart_2018/sounds/PL/0330_1.mp3</t>
  </si>
  <si>
    <t>J. Esling</t>
  </si>
  <si>
    <t>https://www.internationalphoneticassociation.org/IPAcharts/inter_chart_2018/sounds/JE/0319.mp3</t>
  </si>
  <si>
    <t>https://www.internationalphoneticassociation.org/IPAcharts/inter_chart_2018/sounds/PL/03B2.mp3</t>
  </si>
  <si>
    <t>https://www.internationalphoneticassociation.org/IPAcharts/inter_chart_2018/sounds/PL/0290.mp3</t>
  </si>
  <si>
    <t>https://www.internationalphoneticassociation.org/IPAcharts/inter_chart_2018/sounds/JH/02C8.mp3</t>
  </si>
  <si>
    <t>https://www.internationalphoneticassociation.org/IPAcharts/inter_chart_2018/sounds/PL/029C.mp3</t>
  </si>
  <si>
    <t>https://www.internationalphoneticassociation.org/IPAcharts/inter_chart_2018/sounds/PL/0076.mp3</t>
  </si>
  <si>
    <t>https://www.internationalphoneticassociation.org/IPAcharts/inter_chart_2018/sounds/JE/006E.mp3</t>
  </si>
  <si>
    <t>https://www.internationalphoneticassociation.org/IPAcharts/inter_chart_2018/sounds/JH/0064.mp3</t>
  </si>
  <si>
    <t>https://www.internationalphoneticassociation.org/IPAcharts/inter_chart_2018/sounds/JH/0324.mp3</t>
  </si>
  <si>
    <t>https://www.internationalphoneticassociation.org/IPAcharts/inter_chart_2018/sounds/PL/0078.mp3</t>
  </si>
  <si>
    <t>https://www.internationalphoneticassociation.org/IPAcharts/inter_chart_2018/sounds/JE/01C0.mp3</t>
  </si>
  <si>
    <t>https://www.internationalphoneticassociation.org/IPAcharts/inter_chart_2018/sounds/JE/0325_1.mp3</t>
  </si>
  <si>
    <t>https://www.internationalphoneticassociation.org/IPAcharts/inter_chart_2018/sounds/JE/0070.mp3</t>
  </si>
  <si>
    <t>J. Wells</t>
  </si>
  <si>
    <t>https://www.internationalphoneticassociation.org/IPAcharts/inter_chart_2018/sounds/JW/0290.mp3</t>
  </si>
  <si>
    <t>https://www.internationalphoneticassociation.org/IPAcharts/inter_chart_2018/sounds/JH/0279.mp3</t>
  </si>
  <si>
    <t>https://www.internationalphoneticassociation.org/IPAcharts/inter_chart_2018/sounds/PL/02A2.mp3</t>
  </si>
  <si>
    <t>https://www.internationalphoneticassociation.org/IPAcharts/inter_chart_2018/sounds/JE/032C_2.mp3</t>
  </si>
  <si>
    <t>https://www.internationalphoneticassociation.org/IPAcharts/inter_chart_2018/sounds/JE/025F.mp3</t>
  </si>
  <si>
    <t>https://www.internationalphoneticassociation.org/IPAcharts/inter_chart_2018/sounds/JH/027D.mp3</t>
  </si>
  <si>
    <t>https://www.internationalphoneticassociation.org/IPAcharts/inter_chart_2018/sounds/JW/014B.mp3</t>
  </si>
  <si>
    <t>https://www.internationalphoneticassociation.org/IPAcharts/inter_chart_2018/sounds/JE/0274.mp3</t>
  </si>
  <si>
    <t>https://www.internationalphoneticassociation.org/IPAcharts/inter_chart_2018/sounds/JH/0072.mp3</t>
  </si>
  <si>
    <t>https://www.internationalphoneticassociation.org/IPAcharts/inter_chart_2018/sounds/PL/0361.mp3</t>
  </si>
  <si>
    <t>https://www.internationalphoneticassociation.org/IPAcharts/inter_chart_2018/sounds/JE/0304.mp3</t>
  </si>
  <si>
    <t>https://www.internationalphoneticassociation.org/IPAcharts/inter_chart_2018/sounds/JH/02B7_2.mp3</t>
  </si>
  <si>
    <t>https://www.internationalphoneticassociation.org/IPAcharts/inter_chart_2018/sounds/JW/0280.mp3</t>
  </si>
  <si>
    <t>https://www.internationalphoneticassociation.org/IPAcharts/inter_chart_2018/sounds/JE/0068.mp3</t>
  </si>
  <si>
    <t>https://www.internationalphoneticassociation.org/IPAcharts/inter_chart_2018/sounds/PL/0281.mp3</t>
  </si>
  <si>
    <t>https://www.internationalphoneticassociation.org/IPAcharts/inter_chart_2018/sounds/PL/0325_1.mp3</t>
  </si>
  <si>
    <t>https://www.internationalphoneticassociation.org/IPAcharts/inter_chart_2018/sounds/PL/033A_2.mp3</t>
  </si>
  <si>
    <t>https://www.internationalphoneticassociation.org/IPAcharts/inter_chart_2018/sounds/JE/0072.mp3</t>
  </si>
  <si>
    <t>https://www.internationalphoneticassociation.org/IPAcharts/inter_chart_2018/sounds/PL/0079.mp3</t>
  </si>
  <si>
    <t>https://www.internationalphoneticassociation.org/IPAcharts/inter_chart_2018/sounds/JW/03B8.mp3</t>
  </si>
  <si>
    <t>https://www.internationalphoneticassociation.org/IPAcharts/inter_chart_2018/sounds/JW/0263.mp3</t>
  </si>
  <si>
    <t>https://www.internationalphoneticassociation.org/IPAcharts/inter_chart_2018/sounds/JW/0070.mp3</t>
  </si>
  <si>
    <t>https://www.internationalphoneticassociation.org/IPAcharts/inter_chart_2018/sounds/JW/0274.mp3</t>
  </si>
  <si>
    <t>https://www.internationalphoneticassociation.org/IPAcharts/inter_chart_2018/sounds/PL/006F.mp3</t>
  </si>
  <si>
    <t>https://www.internationalphoneticassociation.org/IPAcharts/inter_chart_2018/sounds/PL/01C1.mp3</t>
  </si>
  <si>
    <t>https://www.internationalphoneticassociation.org/IPAcharts/inter_chart_2018/sounds/JH/0079.mp3</t>
  </si>
  <si>
    <t>https://www.internationalphoneticassociation.org/IPAcharts/inter_chart_2018/sounds/JH/0330.mp3</t>
  </si>
  <si>
    <t>https://www.internationalphoneticassociation.org/IPAcharts/inter_chart_2018/sounds/PL/0069.mp3</t>
  </si>
  <si>
    <t>https://www.internationalphoneticassociation.org/IPAcharts/inter_chart_2018/sounds/JW/026E.mp3</t>
  </si>
  <si>
    <t>https://www.internationalphoneticassociation.org/IPAcharts/inter_chart_2018/sounds/JE/02E4_2.mp3</t>
  </si>
  <si>
    <t>https://www.internationalphoneticassociation.org/IPAcharts/inter_chart_2018/sounds/JW/0066.mp3</t>
  </si>
  <si>
    <t>https://www.internationalphoneticassociation.org/IPAcharts/inter_chart_2018/sounds/PL/0319.mp3</t>
  </si>
  <si>
    <t>https://www.internationalphoneticassociation.org/IPAcharts/inter_chart_2018/sounds/JW/02C8.mp3</t>
  </si>
  <si>
    <t>https://www.internationalphoneticassociation.org/IPAcharts/inter_chart_2018/sounds/JH/0255.mp3</t>
  </si>
  <si>
    <t>https://www.internationalphoneticassociation.org/IPAcharts/inter_chart_2018/sounds/JH/0284.mp3</t>
  </si>
  <si>
    <t>https://www.internationalphoneticassociation.org/IPAcharts/inter_chart_2018/sounds/JW/0250.mp3</t>
  </si>
  <si>
    <t>https://www.internationalphoneticassociation.org/IPAcharts/inter_chart_2018/sounds/JE/0259.mp3</t>
  </si>
  <si>
    <t>https://www.internationalphoneticassociation.org/IPAcharts/inter_chart_2018/sounds/JH/0254.mp3</t>
  </si>
  <si>
    <t>https://www.internationalphoneticassociation.org/IPAcharts/inter_chart_2018/sounds/JW/02E4_1.mp3</t>
  </si>
  <si>
    <t>https://www.internationalphoneticassociation.org/IPAcharts/inter_chart_2018/sounds/JE/0153.mp3</t>
  </si>
  <si>
    <t>https://www.internationalphoneticassociation.org/IPAcharts/inter_chart_2018/sounds/PL/028E.mp3</t>
  </si>
  <si>
    <t>https://www.internationalphoneticassociation.org/IPAcharts/inter_chart_2018/sounds/JW/00F8.mp3</t>
  </si>
  <si>
    <t>https://www.internationalphoneticassociation.org/IPAcharts/inter_chart_2018/sounds/PL/0064.mp3</t>
  </si>
  <si>
    <t>https://www.internationalphoneticassociation.org/IPAcharts/inter_chart_2018/sounds/JW/0078.mp3</t>
  </si>
  <si>
    <t>https://www.internationalphoneticassociation.org/IPAcharts/inter_chart_2018/sounds/JW/0257.mp3</t>
  </si>
  <si>
    <t>https://www.internationalphoneticassociation.org/IPAcharts/inter_chart_2018/sounds/JE/0263.mp3</t>
  </si>
  <si>
    <t>https://www.internationalphoneticassociation.org/IPAcharts/inter_chart_2018/sounds/PL/033C_1.mp3</t>
  </si>
  <si>
    <t>https://www.internationalphoneticassociation.org/IPAcharts/inter_chart_2018/sounds/JW/0253.mp3</t>
  </si>
  <si>
    <t>https://www.internationalphoneticassociation.org/IPAcharts/inter_chart_2018/sounds/JH/0078.mp3</t>
  </si>
  <si>
    <t>https://www.internationalphoneticassociation.org/IPAcharts/inter_chart_2018/sounds/JH/01C3.mp3</t>
  </si>
  <si>
    <t>https://www.internationalphoneticassociation.org/IPAcharts/inter_chart_2018/sounds/JE/02DE_1.mp3</t>
  </si>
  <si>
    <t>https://www.internationalphoneticassociation.org/IPAcharts/inter_chart_2018/sounds/JW/025E.mp3</t>
  </si>
  <si>
    <t>https://www.internationalphoneticassociation.org/IPAcharts/inter_chart_2018/sounds/JH/006E.mp3</t>
  </si>
  <si>
    <t>https://www.internationalphoneticassociation.org/IPAcharts/inter_chart_2018/sounds/JE/0280.mp3</t>
  </si>
  <si>
    <t>https://www.internationalphoneticassociation.org/IPAcharts/inter_chart_2018/sounds/JH/025C.mp3</t>
  </si>
  <si>
    <t>https://www.internationalphoneticassociation.org/IPAcharts/inter_chart_2018/sounds/JH/0334.mp3</t>
  </si>
  <si>
    <t>https://www.internationalphoneticassociation.org/IPAcharts/inter_chart_2018/sounds/JW/032A_1.mp3</t>
  </si>
  <si>
    <t>https://www.internationalphoneticassociation.org/IPAcharts/inter_chart_2018/sounds/JE/006B.mp3</t>
  </si>
  <si>
    <t>https://www.internationalphoneticassociation.org/IPAcharts/inter_chart_2018/sounds/JE/0330_1.mp3</t>
  </si>
  <si>
    <t>https://www.internationalphoneticassociation.org/IPAcharts/inter_chart_2018/sounds/PL/028A.mp3</t>
  </si>
  <si>
    <t>https://www.internationalphoneticassociation.org/IPAcharts/inter_chart_2018/sounds/PL/01C2.mp3</t>
  </si>
  <si>
    <t>https://www.internationalphoneticassociation.org/IPAcharts/inter_chart_2018/sounds/JE/032A_2.mp3</t>
  </si>
  <si>
    <t>https://www.internationalphoneticassociation.org/IPAcharts/inter_chart_2018/sounds/JH/0303.mp3</t>
  </si>
  <si>
    <t>https://www.internationalphoneticassociation.org/IPAcharts/inter_chart_2018/sounds/JH/031D_1.mp3</t>
  </si>
  <si>
    <t>https://www.internationalphoneticassociation.org/IPAcharts/inter_chart_2018/sounds/JH/033B_2.mp3</t>
  </si>
  <si>
    <t>https://www.internationalphoneticassociation.org/IPAcharts/inter_chart_2018/sounds/JH/03B2.mp3</t>
  </si>
  <si>
    <t>https://www.internationalphoneticassociation.org/IPAcharts/inter_chart_2018/sounds/JW/01C3.mp3</t>
  </si>
  <si>
    <t>https://www.internationalphoneticassociation.org/IPAcharts/inter_chart_2018/sounds/PL/0304.mp3</t>
  </si>
  <si>
    <t>https://www.internationalphoneticassociation.org/IPAcharts/inter_chart_2018/sounds/JW/0076.mp3</t>
  </si>
  <si>
    <t>https://www.internationalphoneticassociation.org/IPAcharts/inter_chart_2018/sounds/JW/028A.mp3</t>
  </si>
  <si>
    <t>https://www.internationalphoneticassociation.org/IPAcharts/inter_chart_2018/sounds/JE/02E0_2.mp3</t>
  </si>
  <si>
    <t>https://www.internationalphoneticassociation.org/IPAcharts/inter_chart_2018/sounds/PL/0330_2.mp3</t>
  </si>
  <si>
    <t>https://www.internationalphoneticassociation.org/IPAcharts/inter_chart_2018/sounds/JH/00E7.mp3</t>
  </si>
  <si>
    <t>https://www.internationalphoneticassociation.org/IPAcharts/inter_chart_2018/sounds/JW/02E1.mp3</t>
  </si>
  <si>
    <t>https://www.internationalphoneticassociation.org/IPAcharts/inter_chart_2018/sounds/JH/0260.mp3</t>
  </si>
  <si>
    <t>https://www.internationalphoneticassociation.org/IPAcharts/inter_chart_2018/sounds/PL/01C3.mp3</t>
  </si>
  <si>
    <t>https://www.internationalphoneticassociation.org/IPAcharts/inter_chart_2018/sounds/JE/0078.mp3</t>
  </si>
  <si>
    <t>https://www.internationalphoneticassociation.org/IPAcharts/inter_chart_2018/sounds/PL/029B.mp3</t>
  </si>
  <si>
    <t>https://www.internationalphoneticassociation.org/IPAcharts/inter_chart_2018/sounds/JW/0325_2.mp3</t>
  </si>
  <si>
    <t>https://www.internationalphoneticassociation.org/IPAcharts/inter_chart_2018/sounds/PL/0275.mp3</t>
  </si>
  <si>
    <t>https://www.internationalphoneticassociation.org/IPAcharts/inter_chart_2018/sounds/JW/026F.mp3</t>
  </si>
  <si>
    <t>https://www.internationalphoneticassociation.org/IPAcharts/inter_chart_2018/sounds/PL/0256.mp3</t>
  </si>
  <si>
    <t>https://www.internationalphoneticassociation.org/IPAcharts/inter_chart_2018/sounds/PL/0324_1.mp3</t>
  </si>
  <si>
    <t>https://www.internationalphoneticassociation.org/IPAcharts/inter_chart_2018/sounds/PL/02A1.mp3</t>
  </si>
  <si>
    <t>https://www.internationalphoneticassociation.org/IPAcharts/inter_chart_2018/sounds/PL/032A_1.mp3</t>
  </si>
  <si>
    <t>https://www.internationalphoneticassociation.org/IPAcharts/inter_chart_2018/sounds/JE/0279.mp3</t>
  </si>
  <si>
    <t>https://www.internationalphoneticassociation.org/IPAcharts/inter_chart_2018/sounds/PL/028D.mp3</t>
  </si>
  <si>
    <t>https://www.internationalphoneticassociation.org/IPAcharts/inter_chart_2018/sounds/PL/02C8.mp3</t>
  </si>
  <si>
    <t>https://www.internationalphoneticassociation.org/IPAcharts/inter_chart_2018/sounds/JH/0071.mp3</t>
  </si>
  <si>
    <t>https://www.internationalphoneticassociation.org/IPAcharts/inter_chart_2018/sounds/JW/02A2.mp3</t>
  </si>
  <si>
    <t>https://www.internationalphoneticassociation.org/IPAcharts/inter_chart_2018/sounds/PL/031E_2.mp3</t>
  </si>
  <si>
    <t>https://www.internationalphoneticassociation.org/IPAcharts/inter_chart_2018/sounds/JW/0299.mp3</t>
  </si>
  <si>
    <t>https://www.internationalphoneticassociation.org/IPAcharts/inter_chart_2018/sounds/JH/006C.mp3</t>
  </si>
  <si>
    <t>https://www.internationalphoneticassociation.org/IPAcharts/inter_chart_2018/sounds/JE/0256.mp3</t>
  </si>
  <si>
    <t>https://www.internationalphoneticassociation.org/IPAcharts/inter_chart_2018/sounds/PL/0075.mp3</t>
  </si>
  <si>
    <t>https://www.internationalphoneticassociation.org/IPAcharts/inter_chart_2018/sounds/JH/0294.mp3</t>
  </si>
  <si>
    <t>https://www.internationalphoneticassociation.org/IPAcharts/inter_chart_2018/sounds/JE/0064.mp3</t>
  </si>
  <si>
    <t>https://www.internationalphoneticassociation.org/IPAcharts/inter_chart_2018/sounds/PL/0291.mp3</t>
  </si>
  <si>
    <t>https://www.internationalphoneticassociation.org/IPAcharts/inter_chart_2018/sounds/JW/02E0_2.mp3</t>
  </si>
  <si>
    <t>https://www.internationalphoneticassociation.org/IPAcharts/inter_chart_2018/sounds/JE/033B_1.mp3</t>
  </si>
  <si>
    <t>https://www.internationalphoneticassociation.org/IPAcharts/inter_chart_2018/sounds/JE/1DC5.mp3</t>
  </si>
  <si>
    <t>https://www.internationalphoneticassociation.org/IPAcharts/inter_chart_2018/sounds/JW/025F.mp3</t>
  </si>
  <si>
    <t>https://www.internationalphoneticassociation.org/IPAcharts/inter_chart_2018/sounds/PL/1DC4.mp3</t>
  </si>
  <si>
    <t>https://www.internationalphoneticassociation.org/IPAcharts/inter_chart_2018/sounds/PL/0268.mp3</t>
  </si>
  <si>
    <t>https://www.internationalphoneticassociation.org/IPAcharts/inter_chart_2018/sounds/JE/0324_2.mp3</t>
  </si>
  <si>
    <t>https://www.internationalphoneticassociation.org/IPAcharts/inter_chart_2018/sounds/PL/031E_1.mp3</t>
  </si>
  <si>
    <t>https://www.internationalphoneticassociation.org/IPAcharts/inter_chart_2018/sounds/PL/0061.mp3</t>
  </si>
  <si>
    <t>https://www.internationalphoneticassociation.org/IPAcharts/inter_chart_2018/sounds/JH/029B.mp3</t>
  </si>
  <si>
    <t>https://www.internationalphoneticassociation.org/IPAcharts/inter_chart_2018/sounds/JH/02B2_1.mp3</t>
  </si>
  <si>
    <t>https://www.internationalphoneticassociation.org/IPAcharts/inter_chart_2018/sounds/JH/0325_1.mp3</t>
  </si>
  <si>
    <t>https://www.internationalphoneticassociation.org/IPAcharts/inter_chart_2018/sounds/PL/002E.mp3</t>
  </si>
  <si>
    <t>https://www.internationalphoneticassociation.org/IPAcharts/inter_chart_2018/sounds/JW/0251.mp3</t>
  </si>
  <si>
    <t>https://www.internationalphoneticassociation.org/IPAcharts/inter_chart_2018/sounds/JE/0301.mp3</t>
  </si>
  <si>
    <t>https://www.internationalphoneticassociation.org/IPAcharts/inter_chart_2018/sounds/PL/0300.mp3</t>
  </si>
  <si>
    <t>https://www.internationalphoneticassociation.org/IPAcharts/inter_chart_2018/sounds/JE/032A_1.mp3</t>
  </si>
  <si>
    <t>https://www.internationalphoneticassociation.org/IPAcharts/inter_chart_2018/sounds/JW/03B2.mp3</t>
  </si>
  <si>
    <t>https://www.internationalphoneticassociation.org/IPAcharts/inter_chart_2018/sounds/JE/028D.mp3</t>
  </si>
  <si>
    <t>https://www.internationalphoneticassociation.org/IPAcharts/inter_chart_2018/sounds/JW/0291.mp3</t>
  </si>
  <si>
    <t>https://www.internationalphoneticassociation.org/IPAcharts/inter_chart_2018/sounds/JH/033C_1.mp3</t>
  </si>
  <si>
    <t>https://www.internationalphoneticassociation.org/IPAcharts/inter_chart_2018/sounds/JH/031D_2.mp3</t>
  </si>
  <si>
    <t>https://www.internationalphoneticassociation.org/IPAcharts/inter_chart_2018/sounds/PL/0267.mp3</t>
  </si>
  <si>
    <t>https://www.internationalphoneticassociation.org/IPAcharts/inter_chart_2018/sounds/JW/02B0_2.mp3</t>
  </si>
  <si>
    <t>https://www.internationalphoneticassociation.org/IPAcharts/inter_chart_2018/sounds/PL/014B.mp3</t>
  </si>
  <si>
    <t>https://www.internationalphoneticassociation.org/IPAcharts/inter_chart_2018/sounds/JH/0278.mp3</t>
  </si>
  <si>
    <t>https://www.internationalphoneticassociation.org/IPAcharts/inter_chart_2018/sounds/JH/0282.mp3</t>
  </si>
  <si>
    <t>https://www.internationalphoneticassociation.org/IPAcharts/inter_chart_2018/sounds/PL/0306.mp3</t>
  </si>
  <si>
    <t>https://www.internationalphoneticassociation.org/IPAcharts/inter_chart_2018/sounds/PL/02E0_2.mp3</t>
  </si>
  <si>
    <t>https://www.internationalphoneticassociation.org/IPAcharts/inter_chart_2018/sounds/PL/031A.mp3</t>
  </si>
  <si>
    <t>https://www.internationalphoneticassociation.org/IPAcharts/inter_chart_2018/sounds/PL/029D.mp3</t>
  </si>
  <si>
    <t>https://www.internationalphoneticassociation.org/IPAcharts/inter_chart_2018/sounds/JW/02CC.mp3</t>
  </si>
  <si>
    <t>https://www.internationalphoneticassociation.org/IPAcharts/inter_chart_2018/sounds/PL/0325_2.mp3</t>
  </si>
  <si>
    <t>https://www.internationalphoneticassociation.org/IPAcharts/inter_chart_2018/sounds/PL/006C.mp3</t>
  </si>
  <si>
    <t>https://www.internationalphoneticassociation.org/IPAcharts/inter_chart_2018/sounds/JW/02B0_1.mp3</t>
  </si>
  <si>
    <t>https://www.internationalphoneticassociation.org/IPAcharts/inter_chart_2018/sounds/PL/0298.mp3</t>
  </si>
  <si>
    <t>https://www.internationalphoneticassociation.org/IPAcharts/inter_chart_2018/sounds/PL/031C.mp3</t>
  </si>
  <si>
    <t>https://www.internationalphoneticassociation.org/IPAcharts/inter_chart_2018/sounds/JW/0278.mp3</t>
  </si>
  <si>
    <t>https://www.internationalphoneticassociation.org/IPAcharts/inter_chart_2018/sounds/JE/025C.mp3</t>
  </si>
  <si>
    <t>https://www.internationalphoneticassociation.org/IPAcharts/inter_chart_2018/sounds/JH/0289.mp3</t>
  </si>
  <si>
    <t>https://www.internationalphoneticassociation.org/IPAcharts/inter_chart_2018/sounds/JE/0299.mp3</t>
  </si>
  <si>
    <t>https://www.internationalphoneticassociation.org/IPAcharts/inter_chart_2018/sounds/JE/0258.mp3</t>
  </si>
  <si>
    <t>https://www.internationalphoneticassociation.org/IPAcharts/inter_chart_2018/sounds/JW/030C.mp3</t>
  </si>
  <si>
    <t>https://www.internationalphoneticassociation.org/IPAcharts/inter_chart_2018/sounds/JW/0279.mp3</t>
  </si>
  <si>
    <t>https://www.internationalphoneticassociation.org/IPAcharts/inter_chart_2018/sounds/PL/0270.mp3</t>
  </si>
  <si>
    <t>https://www.internationalphoneticassociation.org/IPAcharts/inter_chart_2018/sounds/JH/0127.mp3</t>
  </si>
  <si>
    <t>https://www.internationalphoneticassociation.org/IPAcharts/inter_chart_2018/sounds/JH/032A_1.mp3</t>
  </si>
  <si>
    <t>https://www.internationalphoneticassociation.org/IPAcharts/inter_chart_2018/sounds/JE/028A.mp3</t>
  </si>
  <si>
    <t>https://www.internationalphoneticassociation.org/IPAcharts/inter_chart_2018/sounds/JE/02E1.mp3</t>
  </si>
  <si>
    <t>https://www.internationalphoneticassociation.org/IPAcharts/inter_chart_2018/sounds/JE/00E6.mp3</t>
  </si>
  <si>
    <t>https://www.internationalphoneticassociation.org/IPAcharts/inter_chart_2018/sounds/JE/0273.mp3</t>
  </si>
  <si>
    <t>https://www.internationalphoneticassociation.org/IPAcharts/inter_chart_2018/sounds/JW/027E.mp3</t>
  </si>
  <si>
    <t>https://www.internationalphoneticassociation.org/IPAcharts/inter_chart_2018/sounds/JE/01C1.mp3</t>
  </si>
  <si>
    <t>https://www.internationalphoneticassociation.org/IPAcharts/inter_chart_2018/sounds/JH/02CC.mp3</t>
  </si>
  <si>
    <t>https://www.internationalphoneticassociation.org/IPAcharts/inter_chart_2018/sounds/JH/033A_1.mp3</t>
  </si>
  <si>
    <t>https://www.internationalphoneticassociation.org/IPAcharts/inter_chart_2018/sounds/PL/02D0.mp3</t>
  </si>
  <si>
    <t>https://www.internationalphoneticassociation.org/IPAcharts/inter_chart_2018/sounds/JE/02A2.mp3</t>
  </si>
  <si>
    <t>https://www.internationalphoneticassociation.org/IPAcharts/inter_chart_2018/sounds/PL/0074.mp3</t>
  </si>
  <si>
    <t>https://www.internationalphoneticassociation.org/IPAcharts/inter_chart_2018/sounds/JE/014B.mp3</t>
  </si>
  <si>
    <t>https://www.internationalphoneticassociation.org/IPAcharts/inter_chart_2018/sounds/JH/025F.mp3</t>
  </si>
  <si>
    <t>https://www.internationalphoneticassociation.org/IPAcharts/inter_chart_2018/sounds/JW/0252.mp3</t>
  </si>
  <si>
    <t>https://www.internationalphoneticassociation.org/IPAcharts/inter_chart_2018/sounds/JE/0265.mp3</t>
  </si>
  <si>
    <t>https://www.internationalphoneticassociation.org/IPAcharts/inter_chart_2018/sounds/JW/0334.mp3</t>
  </si>
  <si>
    <t>https://www.internationalphoneticassociation.org/IPAcharts/inter_chart_2018/sounds/JW/0069.mp3</t>
  </si>
  <si>
    <t>https://www.internationalphoneticassociation.org/IPAcharts/inter_chart_2018/sounds/JH/0295.mp3</t>
  </si>
  <si>
    <t>https://www.internationalphoneticassociation.org/IPAcharts/inter_chart_2018/sounds/JW/006B.mp3</t>
  </si>
  <si>
    <t>https://www.internationalphoneticassociation.org/IPAcharts/inter_chart_2018/sounds/JW/0265.mp3</t>
  </si>
  <si>
    <t>https://www.internationalphoneticassociation.org/IPAcharts/inter_chart_2018/sounds/JW/0075.mp3</t>
  </si>
  <si>
    <t>https://www.internationalphoneticassociation.org/IPAcharts/inter_chart_2018/sounds/JE/02B0_2.mp3</t>
  </si>
  <si>
    <t>https://www.internationalphoneticassociation.org/IPAcharts/inter_chart_2018/sounds/JH/01C2.mp3</t>
  </si>
  <si>
    <t>https://www.internationalphoneticassociation.org/IPAcharts/inter_chart_2018/sounds/JH/006F.mp3</t>
  </si>
  <si>
    <t>https://www.internationalphoneticassociation.org/IPAcharts/inter_chart_2018/sounds/JW/026A.mp3</t>
  </si>
  <si>
    <t>https://www.internationalphoneticassociation.org/IPAcharts/inter_chart_2018/sounds/PL/030B.mp3</t>
  </si>
  <si>
    <t>https://www.internationalphoneticassociation.org/IPAcharts/inter_chart_2018/sounds/JE/0303.mp3</t>
  </si>
  <si>
    <t>https://www.internationalphoneticassociation.org/IPAcharts/inter_chart_2018/sounds/JE/0261.mp3</t>
  </si>
  <si>
    <t>https://www.internationalphoneticassociation.org/IPAcharts/inter_chart_2018/sounds/JE/0318.mp3</t>
  </si>
  <si>
    <t>https://www.internationalphoneticassociation.org/IPAcharts/inter_chart_2018/sounds/JH/033A_2.mp3</t>
  </si>
  <si>
    <t>https://www.internationalphoneticassociation.org/IPAcharts/inter_chart_2018/sounds/JE/02B7_2.mp3</t>
  </si>
  <si>
    <t>https://www.internationalphoneticassociation.org/IPAcharts/inter_chart_2018/sounds/JW/031E_1.mp3</t>
  </si>
  <si>
    <t>https://www.internationalphoneticassociation.org/IPAcharts/inter_chart_2018/sounds/JH/01C1.mp3</t>
  </si>
  <si>
    <t>https://www.internationalphoneticassociation.org/IPAcharts/inter_chart_2018/sounds/JW/0298.mp3</t>
  </si>
  <si>
    <t>https://www.internationalphoneticassociation.org/IPAcharts/inter_chart_2018/sounds/JE/02E0_1.mp3</t>
  </si>
  <si>
    <t>https://www.internationalphoneticassociation.org/IPAcharts/inter_chart_2018/sounds/PL/0073.mp3</t>
  </si>
  <si>
    <t>https://www.internationalphoneticassociation.org/IPAcharts/inter_chart_2018/sounds/JE/025B.mp3</t>
  </si>
  <si>
    <t>https://www.internationalphoneticassociation.org/IPAcharts/inter_chart_2018/sounds/JW/00F0.mp3</t>
  </si>
  <si>
    <t>https://www.internationalphoneticassociation.org/IPAcharts/inter_chart_2018/sounds/JE/00F0.mp3</t>
  </si>
  <si>
    <t>https://www.internationalphoneticassociation.org/IPAcharts/inter_chart_2018/sounds/JH/032C_1.mp3</t>
  </si>
  <si>
    <t>https://www.internationalphoneticassociation.org/IPAcharts/inter_chart_2018/sounds/JH/028E.mp3</t>
  </si>
  <si>
    <t>https://www.internationalphoneticassociation.org/IPAcharts/inter_chart_2018/sounds/JE/027D.mp3</t>
  </si>
  <si>
    <t>https://www.internationalphoneticassociation.org/IPAcharts/inter_chart_2018/sounds/PL/0324_2.mp3</t>
  </si>
  <si>
    <t>https://www.internationalphoneticassociation.org/IPAcharts/inter_chart_2018/sounds/JE/0253.mp3</t>
  </si>
  <si>
    <t>https://www.internationalphoneticassociation.org/IPAcharts/inter_chart_2018/sounds/JW/0283.mp3</t>
  </si>
  <si>
    <t>https://www.internationalphoneticassociation.org/IPAcharts/inter_chart_2018/sounds/JE/02B0_1.mp3</t>
  </si>
  <si>
    <t>https://www.internationalphoneticassociation.org/IPAcharts/inter_chart_2018/sounds/JW/030F.mp3</t>
  </si>
  <si>
    <t>https://www.internationalphoneticassociation.org/IPAcharts/inter_chart_2018/sounds/JH/02B0_1.mp3</t>
  </si>
  <si>
    <t>https://www.internationalphoneticassociation.org/IPAcharts/inter_chart_2018/sounds/PL/0280.mp3</t>
  </si>
  <si>
    <t>https://www.internationalphoneticassociation.org/IPAcharts/inter_chart_2018/sounds/JH/0259.mp3</t>
  </si>
  <si>
    <t>https://www.internationalphoneticassociation.org/IPAcharts/inter_chart_2018/sounds/JE/031E_2.mp3</t>
  </si>
  <si>
    <t>https://www.internationalphoneticassociation.org/IPAcharts/inter_chart_2018/sounds/JW/025B.mp3</t>
  </si>
  <si>
    <t>https://www.internationalphoneticassociation.org/IPAcharts/inter_chart_2018/sounds/JW/0288.mp3</t>
  </si>
  <si>
    <t>https://www.internationalphoneticassociation.org/IPAcharts/inter_chart_2018/sounds/JW/A71C.mp3</t>
  </si>
  <si>
    <t>https://www.internationalphoneticassociation.org/IPAcharts/inter_chart_2018/sounds/PL/0070.mp3</t>
  </si>
  <si>
    <t>https://www.internationalphoneticassociation.org/IPAcharts/inter_chart_2018/sounds/PL/0255.mp3</t>
  </si>
  <si>
    <t>https://www.internationalphoneticassociation.org/IPAcharts/inter_chart_2018/sounds/PL/02CC.mp3</t>
  </si>
  <si>
    <t>https://www.internationalphoneticassociation.org/IPAcharts/inter_chart_2018/sounds/PL/027A.mp3</t>
  </si>
  <si>
    <t>https://www.internationalphoneticassociation.org/IPAcharts/inter_chart_2018/sounds/JW/033B_2.mp3</t>
  </si>
  <si>
    <t>https://www.internationalphoneticassociation.org/IPAcharts/inter_chart_2018/sounds/JE/0291.mp3</t>
  </si>
  <si>
    <t>https://www.internationalphoneticassociation.org/IPAcharts/inter_chart_2018/sounds/JW/00E7.mp3</t>
  </si>
  <si>
    <t>https://www.internationalphoneticassociation.org/IPAcharts/inter_chart_2018/sounds/JW/0261.mp3</t>
  </si>
  <si>
    <t>https://www.internationalphoneticassociation.org/IPAcharts/inter_chart_2018/sounds/PL/025C.mp3</t>
  </si>
  <si>
    <t>https://www.internationalphoneticassociation.org/IPAcharts/inter_chart_2018/sounds/JE/006D.mp3</t>
  </si>
  <si>
    <t>https://www.internationalphoneticassociation.org/IPAcharts/inter_chart_2018/sounds/JH/0256.mp3</t>
  </si>
  <si>
    <t>https://www.internationalphoneticassociation.org/IPAcharts/inter_chart_2018/sounds/JE/0330_2.mp3</t>
  </si>
  <si>
    <t>https://www.internationalphoneticassociation.org/IPAcharts/inter_chart_2018/sounds/JH/031A.mp3</t>
  </si>
  <si>
    <t>https://www.internationalphoneticassociation.org/IPAcharts/inter_chart_2018/sounds/JH/0266.mp3</t>
  </si>
  <si>
    <t>https://www.internationalphoneticassociation.org/IPAcharts/inter_chart_2018/sounds/PL/0273.mp3</t>
  </si>
  <si>
    <t>https://www.internationalphoneticassociation.org/IPAcharts/inter_chart_2018/sounds/JH/0073.mp3</t>
  </si>
  <si>
    <t>https://www.internationalphoneticassociation.org/IPAcharts/inter_chart_2018/sounds/PL/0260.mp3</t>
  </si>
  <si>
    <t>https://www.internationalphoneticassociation.org/IPAcharts/inter_chart_2018/sounds/PL/0289.mp3</t>
  </si>
  <si>
    <t>https://www.internationalphoneticassociation.org/IPAcharts/inter_chart_2018/sounds/PL/006B.mp3</t>
  </si>
  <si>
    <t>https://www.internationalphoneticassociation.org/IPAcharts/inter_chart_2018/sounds/JH/029C.mp3</t>
  </si>
  <si>
    <t>https://www.internationalphoneticassociation.org/IPAcharts/inter_chart_2018/sounds/JW/0256.mp3</t>
  </si>
  <si>
    <t>https://www.internationalphoneticassociation.org/IPAcharts/inter_chart_2018/sounds/JH/0262.mp3</t>
  </si>
  <si>
    <t>https://www.internationalphoneticassociation.org/IPAcharts/inter_chart_2018/sounds/PL/00E7.mp3</t>
  </si>
  <si>
    <t>https://www.internationalphoneticassociation.org/IPAcharts/inter_chart_2018/sounds/JH/032A_2.mp3</t>
  </si>
  <si>
    <t>https://www.internationalphoneticassociation.org/IPAcharts/inter_chart_2018/sounds/JW/0295.mp3</t>
  </si>
  <si>
    <t>https://www.internationalphoneticassociation.org/IPAcharts/inter_chart_2018/sounds/JE/033A_1.mp3</t>
  </si>
  <si>
    <t>https://www.internationalphoneticassociation.org/IPAcharts/inter_chart_2018/sounds/PL/00F8.mp3</t>
  </si>
  <si>
    <t>https://www.internationalphoneticassociation.org/IPAcharts/inter_chart_2018/sounds/PL/0062.mp3</t>
  </si>
  <si>
    <t>https://www.internationalphoneticassociation.org/IPAcharts/inter_chart_2018/sounds/JW/0281.mp3</t>
  </si>
  <si>
    <t>https://www.internationalphoneticassociation.org/IPAcharts/inter_chart_2018/sounds/PL/01C0.mp3</t>
  </si>
  <si>
    <t>https://www.internationalphoneticassociation.org/IPAcharts/inter_chart_2018/sounds/JH/0066.mp3</t>
  </si>
  <si>
    <t>https://www.internationalphoneticassociation.org/IPAcharts/inter_chart_2018/sounds/JH/0076.mp3</t>
  </si>
  <si>
    <t>https://www.internationalphoneticassociation.org/IPAcharts/inter_chart_2018/sounds/JW/0079.mp3</t>
  </si>
  <si>
    <t>https://www.internationalphoneticassociation.org/IPAcharts/inter_chart_2018/sounds/JW/006E.mp3</t>
  </si>
  <si>
    <t>https://www.internationalphoneticassociation.org/IPAcharts/inter_chart_2018/sounds/JW/207F.mp3</t>
  </si>
  <si>
    <t>https://www.internationalphoneticassociation.org/IPAcharts/inter_chart_2018/sounds/JW/0325_3.mp3</t>
  </si>
  <si>
    <t>https://www.internationalphoneticassociation.org/IPAcharts/inter_chart_2018/sounds/PL/0261.mp3</t>
  </si>
  <si>
    <t>https://www.internationalphoneticassociation.org/IPAcharts/inter_chart_2018/sounds/JE/0283.mp3</t>
  </si>
  <si>
    <t>https://www.internationalphoneticassociation.org/IPAcharts/inter_chart_2018/sounds/JH/0069.mp3</t>
  </si>
  <si>
    <t>https://www.internationalphoneticassociation.org/IPAcharts/inter_chart_2018/sounds/PL/026F.mp3</t>
  </si>
  <si>
    <t>https://www.internationalphoneticassociation.org/IPAcharts/inter_chart_2018/sounds/JE/0262.mp3</t>
  </si>
  <si>
    <t>https://www.internationalphoneticassociation.org/IPAcharts/inter_chart_2018/sounds/PL/00E6.mp3</t>
  </si>
  <si>
    <t>https://www.internationalphoneticassociation.org/IPAcharts/inter_chart_2018/sounds/PL/027D.mp3</t>
  </si>
  <si>
    <t>https://www.internationalphoneticassociation.org/IPAcharts/inter_chart_2018/sounds/JE/0074.mp3</t>
  </si>
  <si>
    <t>https://www.internationalphoneticassociation.org/IPAcharts/inter_chart_2018/sounds/JH/0271.mp3</t>
  </si>
  <si>
    <t>https://www.internationalphoneticassociation.org/IPAcharts/inter_chart_2018/sounds/JH/0074.mp3</t>
  </si>
  <si>
    <t>https://www.internationalphoneticassociation.org/IPAcharts/inter_chart_2018/sounds/JW/0330.mp3</t>
  </si>
  <si>
    <t>https://www.internationalphoneticassociation.org/IPAcharts/inter_chart_2018/sounds/PL/0279.mp3</t>
  </si>
  <si>
    <t>https://www.internationalphoneticassociation.org/IPAcharts/inter_chart_2018/sounds/JW/026D.mp3</t>
  </si>
  <si>
    <t>https://www.internationalphoneticassociation.org/IPAcharts/inter_chart_2018/sounds/PL/02B7_1.mp3</t>
  </si>
  <si>
    <t>https://www.internationalphoneticassociation.org/IPAcharts/inter_chart_2018/sounds/PL/0295.mp3</t>
  </si>
  <si>
    <t>https://www.internationalphoneticassociation.org/IPAcharts/inter_chart_2018/sounds/JH/027E.mp3</t>
  </si>
  <si>
    <t>https://www.internationalphoneticassociation.org/IPAcharts/inter_chart_2018/sounds/PL/0284.mp3</t>
  </si>
  <si>
    <t>https://www.internationalphoneticassociation.org/IPAcharts/inter_chart_2018/sounds/JW/0318.mp3</t>
  </si>
  <si>
    <t>https://www.internationalphoneticassociation.org/IPAcharts/inter_chart_2018/sounds/JH/0261.mp3</t>
  </si>
  <si>
    <t>https://www.internationalphoneticassociation.org/IPAcharts/inter_chart_2018/sounds/JW/032A_2.mp3</t>
  </si>
  <si>
    <t>https://www.internationalphoneticassociation.org/IPAcharts/inter_chart_2018/sounds/PL/033B_1.mp3</t>
  </si>
  <si>
    <t>https://www.internationalphoneticassociation.org/IPAcharts/inter_chart_2018/sounds/JH/A71B.mp3</t>
  </si>
  <si>
    <t>https://www.internationalphoneticassociation.org/IPAcharts/inter_chart_2018/sounds/JE/0250.mp3</t>
  </si>
  <si>
    <t>https://www.internationalphoneticassociation.org/IPAcharts/inter_chart_2018/sounds/JH/03C7.mp3</t>
  </si>
  <si>
    <t>https://www.internationalphoneticassociation.org/IPAcharts/inter_chart_2018/sounds/JH/029F.mp3</t>
  </si>
  <si>
    <t>https://www.internationalphoneticassociation.org/IPAcharts/inter_chart_2018/sounds/PL/026D.mp3</t>
  </si>
  <si>
    <t>https://www.internationalphoneticassociation.org/IPAcharts/inter_chart_2018/sounds/JW/0259.mp3</t>
  </si>
  <si>
    <t>https://www.internationalphoneticassociation.org/IPAcharts/inter_chart_2018/sounds/JW/0255.mp3</t>
  </si>
  <si>
    <t>https://www.internationalphoneticassociation.org/IPAcharts/inter_chart_2018/sounds/JE/0251.mp3</t>
  </si>
  <si>
    <t>https://www.internationalphoneticassociation.org/IPAcharts/inter_chart_2018/sounds/JE/026F.mp3</t>
  </si>
  <si>
    <t>https://www.internationalphoneticassociation.org/IPAcharts/inter_chart_2018/sounds/PL/0063.mp3</t>
  </si>
  <si>
    <t>https://www.internationalphoneticassociation.org/IPAcharts/inter_chart_2018/sounds/JW/02B7_2.mp3</t>
  </si>
  <si>
    <t>https://www.internationalphoneticassociation.org/IPAcharts/inter_chart_2018/sounds/JW/0266.mp3</t>
  </si>
  <si>
    <t>https://www.internationalphoneticassociation.org/IPAcharts/inter_chart_2018/sounds/JW/007A.mp3</t>
  </si>
  <si>
    <t>https://www.internationalphoneticassociation.org/IPAcharts/inter_chart_2018/sounds/PL/02E1.mp3</t>
  </si>
  <si>
    <t>https://www.internationalphoneticassociation.org/IPAcharts/inter_chart_2018/sounds/JH/0267.mp3</t>
  </si>
  <si>
    <t>https://www.internationalphoneticassociation.org/IPAcharts/inter_chart_2018/sounds/JH/028A.mp3</t>
  </si>
  <si>
    <t>https://www.internationalphoneticassociation.org/IPAcharts/inter_chart_2018/sounds/PL/0252_1.mp3</t>
  </si>
  <si>
    <t>https://www.internationalphoneticassociation.org/IPAcharts/inter_chart_2018/sounds/JW/0065.mp3</t>
  </si>
  <si>
    <t>https://www.internationalphoneticassociation.org/IPAcharts/inter_chart_2018/sounds/JE/0298.mp3</t>
  </si>
  <si>
    <t>https://www.internationalphoneticassociation.org/IPAcharts/inter_chart_2018/sounds/PL/028C.mp3</t>
  </si>
  <si>
    <t>https://www.internationalphoneticassociation.org/IPAcharts/inter_chart_2018/sounds/JH/0153.mp3</t>
  </si>
  <si>
    <t>https://www.internationalphoneticassociation.org/IPAcharts/inter_chart_2018/sounds/PL/1DC5.mp3</t>
  </si>
  <si>
    <t>https://www.internationalphoneticassociation.org/IPAcharts/inter_chart_2018/sounds/JW/01C2.mp3</t>
  </si>
  <si>
    <t>https://www.internationalphoneticassociation.org/IPAcharts/inter_chart_2018/sounds/JW/0073.mp3</t>
  </si>
  <si>
    <t>https://www.internationalphoneticassociation.org/IPAcharts/inter_chart_2018/sounds/PL/0263.mp3</t>
  </si>
  <si>
    <t>https://www.internationalphoneticassociation.org/IPAcharts/inter_chart_2018/sounds/JW/0272.mp3</t>
  </si>
  <si>
    <t>https://www.internationalphoneticassociation.org/IPAcharts/inter_chart_2018/sounds/JE/03B2.mp3</t>
  </si>
  <si>
    <t>https://www.internationalphoneticassociation.org/IPAcharts/inter_chart_2018/sounds/JW/029B.mp3</t>
  </si>
  <si>
    <t>https://www.internationalphoneticassociation.org/IPAcharts/inter_chart_2018/sounds/PL/0276.mp3</t>
  </si>
  <si>
    <t>https://www.internationalphoneticassociation.org/IPAcharts/inter_chart_2018/sounds/PL/02B0_1.mp3</t>
  </si>
  <si>
    <t>https://www.internationalphoneticassociation.org/IPAcharts/inter_chart_2018/sounds/JH/031E_1.mp3</t>
  </si>
  <si>
    <t>https://www.internationalphoneticassociation.org/IPAcharts/inter_chart_2018/sounds/JE/0077.mp3</t>
  </si>
  <si>
    <t>https://www.internationalphoneticassociation.org/IPAcharts/inter_chart_2018/sounds/PL/0282.mp3</t>
  </si>
  <si>
    <t>https://www.internationalphoneticassociation.org/IPAcharts/inter_chart_2018/sounds/PL/02B2_2.mp3</t>
  </si>
  <si>
    <t>https://www.internationalphoneticassociation.org/IPAcharts/inter_chart_2018/sounds/PL/02D1.mp3</t>
  </si>
  <si>
    <t>https://www.internationalphoneticassociation.org/IPAcharts/inter_chart_2018/sounds/JE/0295.mp3</t>
  </si>
  <si>
    <t>https://www.internationalphoneticassociation.org/IPAcharts/inter_chart_2018/sounds/JW/0275.mp3</t>
  </si>
  <si>
    <t>https://www.internationalphoneticassociation.org/IPAcharts/inter_chart_2018/sounds/JE/006F.mp3</t>
  </si>
  <si>
    <t>https://www.internationalphoneticassociation.org/IPAcharts/inter_chart_2018/sounds/PL/028F.mp3</t>
  </si>
  <si>
    <t>https://www.internationalphoneticassociation.org/IPAcharts/inter_chart_2018/sounds/JE/026A.mp3</t>
  </si>
  <si>
    <t>https://www.internationalphoneticassociation.org/IPAcharts/inter_chart_2018/sounds/JW/0258.mp3</t>
  </si>
  <si>
    <t>https://www.internationalphoneticassociation.org/IPAcharts/inter_chart_2018/sounds/JH/02A1.mp3</t>
  </si>
  <si>
    <t>https://www.internationalphoneticassociation.org/IPAcharts/inter_chart_2018/sounds/PL/0265.mp3</t>
  </si>
  <si>
    <t>https://www.internationalphoneticassociation.org/IPAcharts/inter_chart_2018/sounds/JH/026D.mp3</t>
  </si>
  <si>
    <t>https://www.internationalphoneticassociation.org/IPAcharts/inter_chart_2018/sounds/JH/0250.mp3</t>
  </si>
  <si>
    <t>https://www.internationalphoneticassociation.org/IPAcharts/inter_chart_2018/sounds/JH/0325_3.mp3</t>
  </si>
  <si>
    <t>https://www.internationalphoneticassociation.org/IPAcharts/inter_chart_2018/sounds/JE/030B.mp3</t>
  </si>
  <si>
    <t>https://www.internationalphoneticassociation.org/IPAcharts/inter_chart_2018/sounds/JW/0324.mp3</t>
  </si>
  <si>
    <t>https://www.internationalphoneticassociation.org/IPAcharts/inter_chart_2018/sounds/JE/03C7.mp3</t>
  </si>
  <si>
    <t>https://www.internationalphoneticassociation.org/IPAcharts/inter_chart_2018/sounds/JW/01C1.mp3</t>
  </si>
  <si>
    <t>https://www.internationalphoneticassociation.org/IPAcharts/inter_chart_2018/sounds/PL/0071.mp3</t>
  </si>
  <si>
    <t>https://www.internationalphoneticassociation.org/IPAcharts/inter_chart_2018/sounds/PL/025E.mp3</t>
  </si>
  <si>
    <t>https://www.internationalphoneticassociation.org/IPAcharts/inter_chart_2018/sounds/JW/0264.mp3</t>
  </si>
  <si>
    <t>https://www.internationalphoneticassociation.org/IPAcharts/inter_chart_2018/sounds/JH/029D.mp3</t>
  </si>
  <si>
    <t>https://www.internationalphoneticassociation.org/IPAcharts/inter_chart_2018/sounds/JW/0273.mp3</t>
  </si>
  <si>
    <t>https://www.internationalphoneticassociation.org/IPAcharts/inter_chart_2018/sounds/PL/0077.mp3</t>
  </si>
  <si>
    <t>https://www.internationalphoneticassociation.org/IPAcharts/inter_chart_2018/sounds/JW/0284.mp3</t>
  </si>
  <si>
    <t>https://www.internationalphoneticassociation.org/IPAcharts/inter_chart_2018/sounds/JH/02A2.mp3</t>
  </si>
  <si>
    <t>https://www.internationalphoneticassociation.org/IPAcharts/inter_chart_2018/sounds/JE/032C_1.mp3</t>
  </si>
  <si>
    <t>https://www.internationalphoneticassociation.org/IPAcharts/inter_chart_2018/sounds/JH/01C0.mp3</t>
  </si>
  <si>
    <t>https://www.internationalphoneticassociation.org/IPAcharts/inter_chart_2018/sounds/JH/03B8.mp3</t>
  </si>
  <si>
    <t>https://www.internationalphoneticassociation.org/IPAcharts/inter_chart_2018/sounds/JW/029F.mp3</t>
  </si>
  <si>
    <t>https://www.internationalphoneticassociation.org/IPAcharts/inter_chart_2018/sounds/PL/0253.mp3</t>
  </si>
  <si>
    <t>https://www.internationalphoneticassociation.org/IPAcharts/inter_chart_2018/sounds/JW/0062.mp3</t>
  </si>
  <si>
    <t>https://www.internationalphoneticassociation.org/IPAcharts/inter_chart_2018/sounds/PL/0072.mp3</t>
  </si>
  <si>
    <t>https://www.internationalphoneticassociation.org/IPAcharts/inter_chart_2018/sounds/PL/0264.mp3</t>
  </si>
  <si>
    <t>https://www.internationalphoneticassociation.org/IPAcharts/inter_chart_2018/sounds/JE/0278.mp3</t>
  </si>
  <si>
    <t>https://www.internationalphoneticassociation.org/IPAcharts/inter_chart_2018/sounds/JH/0319.mp3</t>
  </si>
  <si>
    <t>https://www.internationalphoneticassociation.org/IPAcharts/inter_chart_2018/sounds/JE/0325_2.mp3</t>
  </si>
  <si>
    <t>https://www.internationalphoneticassociation.org/IPAcharts/inter_chart_2018/sounds/JH/0299.mp3</t>
  </si>
  <si>
    <t>https://www.internationalphoneticassociation.org/IPAcharts/inter_chart_2018/sounds/JW/0302.mp3</t>
  </si>
  <si>
    <t>https://www.internationalphoneticassociation.org/IPAcharts/inter_chart_2018/sounds/JE/033C_2.mp3</t>
  </si>
  <si>
    <t>https://www.internationalphoneticassociation.org/IPAcharts/inter_chart_2018/sounds/JE/035C.mp3</t>
  </si>
  <si>
    <t>https://www.internationalphoneticassociation.org/IPAcharts/inter_chart_2018/sounds/PL/030F.mp3</t>
  </si>
  <si>
    <t>https://www.internationalphoneticassociation.org/IPAcharts/inter_chart_2018/sounds/JW/031A.mp3</t>
  </si>
  <si>
    <t>https://www.internationalphoneticassociation.org/IPAcharts/inter_chart_2018/sounds/JH/006D.mp3</t>
  </si>
  <si>
    <t>https://www.internationalphoneticassociation.org/IPAcharts/inter_chart_2018/sounds/JH/0264.mp3</t>
  </si>
  <si>
    <t>https://www.internationalphoneticassociation.org/IPAcharts/inter_chart_2018/sounds/JE/0281.mp3</t>
  </si>
  <si>
    <t>https://www.internationalphoneticassociation.org/IPAcharts/inter_chart_2018/sounds/JH/028C.mp3</t>
  </si>
  <si>
    <t>https://www.internationalphoneticassociation.org/IPAcharts/inter_chart_2018/sounds/PL/0257.mp3</t>
  </si>
  <si>
    <t>https://www.internationalphoneticassociation.org/IPAcharts/inter_chart_2018/sounds/JE/0290.mp3</t>
  </si>
  <si>
    <t>https://www.internationalphoneticassociation.org/IPAcharts/inter_chart_2018/sounds/JE/029C.mp3</t>
  </si>
  <si>
    <t>https://www.internationalphoneticassociation.org/IPAcharts/inter_chart_2018/sounds/JH/030C.mp3</t>
  </si>
  <si>
    <t>https://www.internationalphoneticassociation.org/IPAcharts/inter_chart_2018/sounds/JW/0127.mp3</t>
  </si>
  <si>
    <t>https://www.internationalphoneticassociation.org/IPAcharts/inter_chart_2018/sounds/PL/02E0_1.mp3</t>
  </si>
  <si>
    <t>https://www.internationalphoneticassociation.org/IPAcharts/inter_chart_2018/sounds/JE/030F.mp3</t>
  </si>
  <si>
    <t>https://www.internationalphoneticassociation.org/IPAcharts/inter_chart_2018/sounds/JW/029C.mp3</t>
  </si>
  <si>
    <t>https://www.internationalphoneticassociation.org/IPAcharts/inter_chart_2018/sounds/JE/0289.mp3</t>
  </si>
  <si>
    <t>https://www.internationalphoneticassociation.org/IPAcharts/inter_chart_2018/sounds/JH/0318.mp3</t>
  </si>
  <si>
    <t>https://www.internationalphoneticassociation.org/IPAcharts/inter_chart_2018/sounds/JE/0272.mp3</t>
  </si>
  <si>
    <t>https://www.internationalphoneticassociation.org/IPAcharts/inter_chart_2018/sounds/PL/033B_2.mp3</t>
  </si>
  <si>
    <t>https://www.internationalphoneticassociation.org/IPAcharts/inter_chart_2018/sounds/PL/0250.mp3</t>
  </si>
  <si>
    <t>https://www.internationalphoneticassociation.org/IPAcharts/inter_chart_2018/sounds/JE/033A_2.mp3</t>
  </si>
  <si>
    <t>https://www.internationalphoneticassociation.org/IPAcharts/inter_chart_2018/sounds/JH/006B.mp3</t>
  </si>
  <si>
    <t>https://www.internationalphoneticassociation.org/IPAcharts/inter_chart_2018/sounds/PL/032C_1.mp3</t>
  </si>
  <si>
    <t>https://www.internationalphoneticassociation.org/IPAcharts/inter_chart_2018/sounds/JE/0252.mp3</t>
  </si>
  <si>
    <t>https://www.internationalphoneticassociation.org/IPAcharts/inter_chart_2018/sounds/JW/03C7.mp3</t>
  </si>
  <si>
    <t>https://www.internationalphoneticassociation.org/IPAcharts/inter_chart_2018/sounds/JE/029F.mp3</t>
  </si>
  <si>
    <t>https://www.internationalphoneticassociation.org/IPAcharts/inter_chart_2018/sounds/JW/025C.mp3</t>
  </si>
  <si>
    <t>https://www.internationalphoneticassociation.org/IPAcharts/inter_chart_2018/sounds/JW/030B.mp3</t>
  </si>
  <si>
    <t>https://www.internationalphoneticassociation.org/IPAcharts/inter_chart_2018/sounds/JH/014B.mp3</t>
  </si>
  <si>
    <t>https://www.internationalphoneticassociation.org/IPAcharts/inter_chart_2018/sounds/JW/028D.mp3</t>
  </si>
  <si>
    <t>https://www.internationalphoneticassociation.org/IPAcharts/inter_chart_2018/sounds/JE/029D.mp3</t>
  </si>
  <si>
    <t>https://www.internationalphoneticassociation.org/IPAcharts/inter_chart_2018/sounds/JE/0268.mp3</t>
  </si>
  <si>
    <t>https://www.internationalphoneticassociation.org/IPAcharts/inter_chart_2018/sounds/PL/0303.mp3</t>
  </si>
  <si>
    <t>https://www.internationalphoneticassociation.org/IPAcharts/inter_chart_2018/sounds/JW/033C_1.mp3</t>
  </si>
  <si>
    <t>https://www.internationalphoneticassociation.org/IPAcharts/inter_chart_2018/sounds/PL/025F.mp3</t>
  </si>
  <si>
    <t>https://www.internationalphoneticassociation.org/IPAcharts/inter_chart_2018/sounds/PL/0153.mp3</t>
  </si>
  <si>
    <t>https://www.internationalphoneticassociation.org/IPAcharts/inter_chart_2018/sounds/JH/0063.mp3</t>
  </si>
  <si>
    <t>https://www.internationalphoneticassociation.org/IPAcharts/inter_chart_2018/sounds/JH/025E.mp3</t>
  </si>
  <si>
    <t>https://www.internationalphoneticassociation.org/IPAcharts/inter_chart_2018/sounds/JE/1DC8.mp3</t>
  </si>
  <si>
    <t>https://www.internationalphoneticassociation.org/IPAcharts/inter_chart_2018/sounds/PL/0299.mp3</t>
  </si>
  <si>
    <t>https://www.internationalphoneticassociation.org/IPAcharts/inter_chart_2018/sounds/PL/030C.mp3</t>
  </si>
  <si>
    <t>https://www.internationalphoneticassociation.org/IPAcharts/inter_chart_2018/sounds/JW/0262.mp3</t>
  </si>
  <si>
    <t>https://www.internationalphoneticassociation.org/IPAcharts/inter_chart_2018/sounds/JH/031E_2.mp3</t>
  </si>
  <si>
    <t>https://www.internationalphoneticassociation.org/IPAcharts/inter_chart_2018/sounds/JH/207F.mp3</t>
  </si>
  <si>
    <t>https://www.internationalphoneticassociation.org/IPAcharts/inter_chart_2018/sounds/PL/0294.mp3</t>
  </si>
  <si>
    <t>https://www.internationalphoneticassociation.org/IPAcharts/inter_chart_2018/sounds/JW/0276.mp3</t>
  </si>
  <si>
    <t>https://www.internationalphoneticassociation.org/IPAcharts/inter_chart_2018/sounds/JE/0276.mp3</t>
  </si>
  <si>
    <t>https://www.internationalphoneticassociation.org/IPAcharts/inter_chart_2018/sounds/PL/0339.mp3</t>
  </si>
  <si>
    <t>https://www.internationalphoneticassociation.org/IPAcharts/inter_chart_2018/sounds/JW/028B.mp3</t>
  </si>
  <si>
    <t>https://www.internationalphoneticassociation.org/IPAcharts/inter_chart_2018/sounds/JH/0257.mp3</t>
  </si>
  <si>
    <t>https://www.internationalphoneticassociation.org/IPAcharts/inter_chart_2018/sounds/PL/0283.mp3</t>
  </si>
  <si>
    <t>https://www.internationalphoneticassociation.org/IPAcharts/inter_chart_2018/sounds/JW/0063.mp3</t>
  </si>
  <si>
    <t>https://www.internationalphoneticassociation.org/IPAcharts/inter_chart_2018/sounds/PL/026C.mp3</t>
  </si>
  <si>
    <t>https://www.internationalphoneticassociation.org/IPAcharts/inter_chart_2018/sounds/JE/0257.mp3</t>
  </si>
  <si>
    <t>https://www.internationalphoneticassociation.org/IPAcharts/inter_chart_2018/sounds/JH/02DE_1.mp3</t>
  </si>
  <si>
    <t>https://www.internationalphoneticassociation.org/IPAcharts/inter_chart_2018/sounds/JE/0266.mp3</t>
  </si>
  <si>
    <t>https://www.internationalphoneticassociation.org/IPAcharts/inter_chart_2018/sounds/JE/0061.mp3</t>
  </si>
  <si>
    <t>https://www.internationalphoneticassociation.org/IPAcharts/inter_chart_2018/sounds/JE/0361.mp3</t>
  </si>
  <si>
    <t>https://www.internationalphoneticassociation.org/IPAcharts/inter_chart_2018/sounds/JH/0253.mp3</t>
  </si>
  <si>
    <t>https://www.internationalphoneticassociation.org/IPAcharts/inter_chart_2018/sounds/PL/029F.mp3</t>
  </si>
  <si>
    <t>https://www.internationalphoneticassociation.org/IPAcharts/inter_chart_2018/sounds/JE/01C3.mp3</t>
  </si>
  <si>
    <t>https://www.internationalphoneticassociation.org/IPAcharts/inter_chart_2018/sounds/JH/0298.mp3</t>
  </si>
  <si>
    <t>https://www.internationalphoneticassociation.org/IPAcharts/inter_chart_2018/sounds/JW/006A.mp3</t>
  </si>
  <si>
    <t>https://www.internationalphoneticassociation.org/IPAcharts/inter_chart_2018/sounds/JE/0324_1.mp3</t>
  </si>
  <si>
    <t>https://www.internationalphoneticassociation.org/IPAcharts/inter_chart_2018/sounds/PL/0068.mp3</t>
  </si>
  <si>
    <t>https://www.internationalphoneticassociation.org/IPAcharts/inter_chart_2018/sounds/JW/02B7_1.mp3</t>
  </si>
  <si>
    <t>https://www.internationalphoneticassociation.org/IPAcharts/inter_chart_2018/sounds/PL/0301.mp3</t>
  </si>
  <si>
    <t>https://www.internationalphoneticassociation.org/IPAcharts/inter_chart_2018/sounds/PL/0065.mp3</t>
  </si>
  <si>
    <t>https://www.internationalphoneticassociation.org/IPAcharts/inter_chart_2018/sounds/JH/0068.mp3</t>
  </si>
  <si>
    <t>https://www.internationalphoneticassociation.org/IPAcharts/inter_chart_2018/sounds/JE/0271.mp3</t>
  </si>
  <si>
    <t>https://www.internationalphoneticassociation.org/IPAcharts/inter_chart_2018/sounds/JE/028F.mp3</t>
  </si>
  <si>
    <t>https://www.internationalphoneticassociation.org/IPAcharts/inter_chart_2018/sounds/JW/02E0_1.mp3</t>
  </si>
  <si>
    <t>https://www.internationalphoneticassociation.org/IPAcharts/inter_chart_2018/sounds/JE/1DC4.mp3</t>
  </si>
  <si>
    <t>https://www.internationalphoneticassociation.org/IPAcharts/inter_chart_2018/sounds/JE/027B.mp3</t>
  </si>
  <si>
    <t>https://www.internationalphoneticassociation.org/IPAcharts/inter_chart_2018/sounds/JW/00E6.mp3</t>
  </si>
  <si>
    <t>https://www.internationalphoneticassociation.org/IPAcharts/inter_chart_2018/sounds/JE/00E7.mp3</t>
  </si>
  <si>
    <t>https://www.internationalphoneticassociation.org/IPAcharts/inter_chart_2018/sounds/JW/0294.mp3</t>
  </si>
  <si>
    <t>https://www.internationalphoneticassociation.org/IPAcharts/inter_chart_2018/sounds/JH/02B7_1.mp3</t>
  </si>
  <si>
    <t>https://www.internationalphoneticassociation.org/IPAcharts/inter_chart_2018/sounds/JH/0283.mp3</t>
  </si>
  <si>
    <t>https://www.internationalphoneticassociation.org/IPAcharts/inter_chart_2018/sounds/JE/0079.mp3</t>
  </si>
  <si>
    <t>https://www.internationalphoneticassociation.org/IPAcharts/inter_chart_2018/sounds/JW/0282.mp3</t>
  </si>
  <si>
    <t>https://www.internationalphoneticassociation.org/IPAcharts/inter_chart_2018/sounds/JE/0254.mp3</t>
  </si>
  <si>
    <t>https://www.internationalphoneticassociation.org/IPAcharts/inter_chart_2018/sounds/JE/0127.mp3</t>
  </si>
  <si>
    <t>https://www.internationalphoneticassociation.org/IPAcharts/inter_chart_2018/sounds/PL/0288.mp3</t>
  </si>
  <si>
    <t>https://www.internationalphoneticassociation.org/IPAcharts/inter_chart_2018/sounds/JW/0270.mp3</t>
  </si>
  <si>
    <t>https://www.internationalphoneticassociation.org/IPAcharts/inter_chart_2018/sounds/PL/028B.mp3</t>
  </si>
  <si>
    <t>https://www.internationalphoneticassociation.org/IPAcharts/inter_chart_2018/sounds/PL/035C.mp3</t>
  </si>
  <si>
    <t>https://www.internationalphoneticassociation.org/IPAcharts/inter_chart_2018/sounds/PL/0258.mp3</t>
  </si>
  <si>
    <t>https://www.internationalphoneticassociation.org/IPAcharts/inter_chart_2018/sounds/JW/1DC4.mp3</t>
  </si>
  <si>
    <t>https://www.internationalphoneticassociation.org/IPAcharts/inter_chart_2018/sounds/JH/A71C.mp3</t>
  </si>
  <si>
    <t>https://www.internationalphoneticassociation.org/IPAcharts/inter_chart_2018/sounds/JH/0265.mp3</t>
  </si>
  <si>
    <t>https://www.internationalphoneticassociation.org/IPAcharts/inter_chart_2018/sounds/JH/0272.mp3</t>
  </si>
  <si>
    <t>https://www.internationalphoneticassociation.org/IPAcharts/inter_chart_2018/sounds/JH/0270.mp3</t>
  </si>
  <si>
    <t>https://www.internationalphoneticassociation.org/IPAcharts/inter_chart_2018/sounds/JH/028B.mp3</t>
  </si>
  <si>
    <t>https://www.internationalphoneticassociation.org/IPAcharts/inter_chart_2018/sounds/JH/026C.mp3</t>
  </si>
  <si>
    <t>https://www.internationalphoneticassociation.org/IPAcharts/inter_chart_2018/sounds/JE/02B2_1.mp3</t>
  </si>
  <si>
    <t>https://www.internationalphoneticassociation.org/IPAcharts/inter_chart_2018/sounds/JE/028E.mp3</t>
  </si>
  <si>
    <t>https://www.internationalphoneticassociation.org/IPAcharts/inter_chart_2018/sounds/JW/027A.mp3</t>
  </si>
  <si>
    <t>https://www.internationalphoneticassociation.org/IPAcharts/inter_chart_2018/sounds/JW/0325_1.mp3</t>
  </si>
  <si>
    <t>https://www.internationalphoneticassociation.org/IPAcharts/inter_chart_2018/sounds/PL/0292.mp3</t>
  </si>
  <si>
    <t>https://www.internationalphoneticassociation.org/IPAcharts/inter_chart_2018/sounds/PL/0274.mp3</t>
  </si>
  <si>
    <t>https://www.internationalphoneticassociation.org/IPAcharts/inter_chart_2018/sounds/PL/02B0_2.mp3</t>
  </si>
  <si>
    <t>https://www.internationalphoneticassociation.org/IPAcharts/inter_chart_2018/sounds/JH/0252.mp3</t>
  </si>
  <si>
    <t>https://www.internationalphoneticassociation.org/IPAcharts/inter_chart_2018/sounds/PL/0252.mp3</t>
  </si>
  <si>
    <t>https://www.internationalphoneticassociation.org/IPAcharts/inter_chart_2018/sounds/JW/031E_2.mp3</t>
  </si>
  <si>
    <t>https://www.internationalphoneticassociation.org/IPAcharts/inter_chart_2018/sounds/JH/006A.mp3</t>
  </si>
  <si>
    <t>https://www.internationalphoneticassociation.org/IPAcharts/inter_chart_2018/sounds/JW/0301.mp3</t>
  </si>
  <si>
    <t>https://www.internationalphoneticassociation.org/IPAcharts/inter_chart_2018/sounds/PL/027E.mp3</t>
  </si>
  <si>
    <t>https://www.internationalphoneticassociation.org/IPAcharts/inter_chart_2018/sounds/JH/026F.mp3</t>
  </si>
  <si>
    <t>https://www.internationalphoneticassociation.org/IPAcharts/inter_chart_2018/sounds/PL/0262.mp3</t>
  </si>
  <si>
    <t>https://www.internationalphoneticassociation.org/IPAcharts/inter_chart_2018/sounds/JH/02E1.mp3</t>
  </si>
  <si>
    <t>https://www.internationalphoneticassociation.org/IPAcharts/inter_chart_2018/sounds/PL/0334.mp3</t>
  </si>
  <si>
    <t>https://www.internationalphoneticassociation.org/IPAcharts/inter_chart_2018/sounds/JW/01C0.mp3</t>
  </si>
  <si>
    <t>https://www.internationalphoneticassociation.org/IPAcharts/inter_chart_2018/sounds/JW/1DC5.mp3</t>
  </si>
  <si>
    <t>https://www.internationalphoneticassociation.org/IPAcharts/inter_chart_2018/sounds/JE/02B7_1.mp3</t>
  </si>
  <si>
    <t>https://www.internationalphoneticassociation.org/IPAcharts/inter_chart_2018/sounds/JE/031D_2.mp3</t>
  </si>
  <si>
    <t>https://www.internationalphoneticassociation.org/IPAcharts/inter_chart_2018/sounds/PL/032C_2.mp3</t>
  </si>
  <si>
    <t>https://www.internationalphoneticassociation.org/IPAcharts/inter_chart_2018/sounds/PL/0318.mp3</t>
  </si>
  <si>
    <t>https://www.internationalphoneticassociation.org/IPAcharts/inter_chart_2018/sounds/JW/033A_1.mp3</t>
  </si>
  <si>
    <t>https://www.internationalphoneticassociation.org/IPAcharts/inter_chart_2018/sounds/JH/00F8.mp3</t>
  </si>
  <si>
    <t>https://www.internationalphoneticassociation.org/IPAcharts/inter_chart_2018/sounds/PL/026E.mp3</t>
  </si>
  <si>
    <t>https://www.internationalphoneticassociation.org/IPAcharts/inter_chart_2018/sounds/JE/007A.mp3</t>
  </si>
  <si>
    <t>https://www.internationalphoneticassociation.org/IPAcharts/inter_chart_2018/sounds/JW/02E4_2.mp3</t>
  </si>
  <si>
    <t>https://www.internationalphoneticassociation.org/IPAcharts/inter_chart_2018/sounds/JH/0268.mp3</t>
  </si>
  <si>
    <t>https://www.internationalphoneticassociation.org/IPAcharts/inter_chart_2018/sounds/JW/A71B.mp3</t>
  </si>
  <si>
    <t>https://www.internationalphoneticassociation.org/IPAcharts/inter_chart_2018/sounds/PL/007A.mp3</t>
  </si>
  <si>
    <t>https://www.internationalphoneticassociation.org/IPAcharts/inter_chart_2018/sounds/JH/033C_2.mp3</t>
  </si>
  <si>
    <t>https://www.internationalphoneticassociation.org/IPAcharts/inter_chart_2018/sounds/JE/0264.mp3</t>
  </si>
  <si>
    <t>https://www.internationalphoneticassociation.org/IPAcharts/inter_chart_2018/sounds/JE/0065.mp3</t>
  </si>
  <si>
    <t>https://www.internationalphoneticassociation.org/IPAcharts/inter_chart_2018/sounds/JH/02B2_2.mp3</t>
  </si>
  <si>
    <t>https://www.internationalphoneticassociation.org/IPAcharts/inter_chart_2018/sounds/JW/028F.mp3</t>
  </si>
  <si>
    <t>https://www.internationalphoneticassociation.org/IPAcharts/inter_chart_2018/sounds/JH/035C.mp3</t>
  </si>
  <si>
    <t>https://www.internationalphoneticassociation.org/IPAcharts/inter_chart_2018/sounds/PL/0302.mp3</t>
  </si>
  <si>
    <t>https://www.internationalphoneticassociation.org/IPAcharts/inter_chart_2018/sounds/PL/1DC8.mp3</t>
  </si>
  <si>
    <t>https://www.internationalphoneticassociation.org/IPAcharts/inter_chart_2018/sounds/JW/0064.mp3</t>
  </si>
  <si>
    <t>https://www.internationalphoneticassociation.org/IPAcharts/inter_chart_2018/sounds/PL/0066.mp3</t>
  </si>
  <si>
    <t>https://www.internationalphoneticassociation.org/IPAcharts/inter_chart_2018/sounds/JE/030C.mp3</t>
  </si>
  <si>
    <t>https://www.internationalphoneticassociation.org/IPAcharts/inter_chart_2018/sounds/JH/0077.mp3</t>
  </si>
  <si>
    <t>https://www.internationalphoneticassociation.org/IPAcharts/inter_chart_2018/sounds/JW/033B_1.mp3</t>
  </si>
  <si>
    <t>https://www.internationalphoneticassociation.org/IPAcharts/inter_chart_2018/sounds/JE/026D.mp3</t>
  </si>
  <si>
    <t>https://www.internationalphoneticassociation.org/IPAcharts/inter_chart_2018/sounds/PL/02E4_1.mp3</t>
  </si>
  <si>
    <t>https://www.internationalphoneticassociation.org/IPAcharts/inter_chart_2018/sounds/JE/0302.mp3</t>
  </si>
  <si>
    <t>https://www.internationalphoneticassociation.org/IPAcharts/inter_chart_2018/sounds/JW/0304.mp3</t>
  </si>
  <si>
    <t>https://www.internationalphoneticassociation.org/IPAcharts/inter_chart_2018/sounds/JH/0276.mp3</t>
  </si>
  <si>
    <t>https://www.internationalphoneticassociation.org/IPAcharts/inter_chart_2018/sounds/JW/026C.mp3</t>
  </si>
  <si>
    <t>https://www.internationalphoneticassociation.org/IPAcharts/inter_chart_2018/sounds/JE/0069.mp3</t>
  </si>
  <si>
    <t>https://www.internationalphoneticassociation.org/IPAcharts/inter_chart_2018/sounds/PL/033A_1.mp3</t>
  </si>
  <si>
    <t>https://www.internationalphoneticassociation.org/IPAcharts/inter_chart_2018/sounds/JH/2198.mp3</t>
  </si>
  <si>
    <t>https://www.internationalphoneticassociation.org/IPAcharts/inter_chart_2018/sounds/JE/207F.mp3</t>
  </si>
  <si>
    <t>https://www.internationalphoneticassociation.org/IPAcharts/inter_chart_2018/sounds/JE/0066.mp3</t>
  </si>
  <si>
    <t>https://www.internationalphoneticassociation.org/IPAcharts/inter_chart_2018/sounds/PL/0127.mp3</t>
  </si>
  <si>
    <t>https://www.internationalphoneticassociation.org/IPAcharts/inter_chart_2018/sounds/JE/026E.mp3</t>
  </si>
  <si>
    <t>https://www.internationalphoneticassociation.org/IPAcharts/inter_chart_2018/sounds/JE/0071.mp3</t>
  </si>
  <si>
    <t>https://www.internationalphoneticassociation.org/IPAcharts/inter_chart_2018/sounds/JH/1DC8.mp3</t>
  </si>
  <si>
    <t>https://www.internationalphoneticassociation.org/IPAcharts/inter_chart_2018/sounds/JE/0300.mp3</t>
  </si>
  <si>
    <t>https://www.internationalphoneticassociation.org/IPAcharts/inter_chart_2018/sounds/JW/0077.mp3</t>
  </si>
  <si>
    <t>https://www.internationalphoneticassociation.org/IPAcharts/inter_chart_2018/sounds/JH/0061.mp3</t>
  </si>
  <si>
    <t>https://www.internationalphoneticassociation.org/IPAcharts/inter_chart_2018/sounds/JW/0074.mp3</t>
  </si>
  <si>
    <t>https://www.internationalphoneticassociation.org/IPAcharts/inter_chart_2018/sounds/JE/026C.mp3</t>
  </si>
  <si>
    <t>https://www.internationalphoneticassociation.org/IPAcharts/inter_chart_2018/sounds/JH/02E4_2.mp3</t>
  </si>
  <si>
    <t>https://www.internationalphoneticassociation.org/IPAcharts/inter_chart_2018/sounds/JH/033B_1.mp3</t>
  </si>
  <si>
    <t>https://www.internationalphoneticassociation.org/IPAcharts/inter_chart_2018/sounds/PL/033C_2.mp3</t>
  </si>
  <si>
    <t>https://www.internationalphoneticassociation.org/IPAcharts/inter_chart_2018/sounds/PL/032A_2.mp3</t>
  </si>
  <si>
    <t>https://www.internationalphoneticassociation.org/IPAcharts/inter_chart_2018/sounds/JE/0076.mp3</t>
  </si>
  <si>
    <t>https://www.internationalphoneticassociation.org/IPAcharts/inter_chart_2018/sounds/JH/0275.mp3</t>
  </si>
  <si>
    <t>https://www.internationalphoneticassociation.org/IPAcharts/inter_chart_2018/sounds/JH/0274.mp3</t>
  </si>
  <si>
    <t>https://www.internationalphoneticassociation.org/IPAcharts/inter_chart_2018/sounds/JW/027D.mp3</t>
  </si>
  <si>
    <t>https://www.internationalphoneticassociation.org/IPAcharts/inter_chart_2018/sounds/JE/006C.mp3</t>
  </si>
  <si>
    <t>https://www.internationalphoneticassociation.org/IPAcharts/inter_chart_2018/sounds/JH/0281.mp3</t>
  </si>
  <si>
    <t>https://www.internationalphoneticassociation.org/IPAcharts/inter_chart_2018/sounds/JW/0319.mp3</t>
  </si>
  <si>
    <t>https://www.internationalphoneticassociation.org/IPAcharts/inter_chart_2018/sounds/JH/007A.mp3</t>
  </si>
  <si>
    <t>https://www.internationalphoneticassociation.org/IPAcharts/inter_chart_2018/sounds/JE/0292.mp3</t>
  </si>
  <si>
    <t>https://www.internationalphoneticassociation.org/IPAcharts/inter_chart_2018/sounds/PL/0272.mp3</t>
  </si>
  <si>
    <t>https://www.internationalphoneticassociation.org/IPAcharts/inter_chart_2018/sounds/JE/02A1.mp3</t>
  </si>
  <si>
    <t>https://www.internationalphoneticassociation.org/IPAcharts/inter_chart_2018/sounds/JH/026A.mp3</t>
  </si>
  <si>
    <t>https://www.internationalphoneticassociation.org/IPAcharts/inter_chart_2018/sounds/JW/02DE_1.mp3</t>
  </si>
  <si>
    <t>https://www.internationalphoneticassociation.org/IPAcharts/inter_chart_2018/sounds/PL/033D.mp3</t>
  </si>
  <si>
    <t>https://www.internationalphoneticassociation.org/IPAcharts/inter_chart_2018/sounds/JE/027A.mp3</t>
  </si>
  <si>
    <t>https://www.internationalphoneticassociation.org/IPAcharts/inter_chart_2018/sounds/JH/0065.mp3</t>
  </si>
  <si>
    <t>https://www.internationalphoneticassociation.org/IPAcharts/inter_chart_2018/sounds/JE/033C_1.mp3</t>
  </si>
  <si>
    <t>https://www.internationalphoneticassociation.org/IPAcharts/inter_chart_2018/sounds/PL/0266.mp3</t>
  </si>
  <si>
    <t>https://www.internationalphoneticassociation.org/IPAcharts/inter_chart_2018/sounds/PL/02B2_1.mp3</t>
  </si>
  <si>
    <t>https://www.internationalphoneticassociation.org/IPAcharts/inter_chart_2018/sounds/JW/033C_2.mp3</t>
  </si>
  <si>
    <t>https://www.internationalphoneticassociation.org/IPAcharts/inter_chart_2018/sounds/JW/0271.mp3</t>
  </si>
  <si>
    <t>https://www.internationalphoneticassociation.org/IPAcharts/inter_chart_2018/sounds/JH/02B0_2.mp3</t>
  </si>
  <si>
    <t>https://www.internationalphoneticassociation.org/IPAcharts/inter_chart_2018/sounds/PL/0278.mp3</t>
  </si>
  <si>
    <t>https://www.internationalphoneticassociation.org/IPAcharts/inter_chart_2018/sounds/JE/0282.mp3</t>
  </si>
  <si>
    <t>https://www.internationalphoneticassociation.org/IPAcharts/inter_chart_2018/sounds/JH/0288.mp3</t>
  </si>
  <si>
    <t>https://www.internationalphoneticassociation.org/IPAcharts/inter_chart_2018/sounds/JW/0268.mp3</t>
  </si>
  <si>
    <t>https://www.internationalphoneticassociation.org/IPAcharts/inter_chart_2018/sounds/JH/02E0_1.mp3</t>
  </si>
  <si>
    <t>https://www.internationalphoneticassociation.org/IPAcharts/inter_chart_2018/sounds/JW/0361.mp3</t>
  </si>
  <si>
    <t>https://www.internationalphoneticassociation.org/IPAcharts/inter_chart_2018/sounds/JH/0292.mp3</t>
  </si>
  <si>
    <t>https://www.internationalphoneticassociation.org/IPAcharts/inter_chart_2018/sounds/JE/02E4_1.mp3</t>
  </si>
  <si>
    <t>https://www.internationalphoneticassociation.org/IPAcharts/inter_chart_2018/sounds/PL/03C7.mp3</t>
  </si>
  <si>
    <t>https://www.internationalphoneticassociation.org/IPAcharts/inter_chart_2018/sounds/JE/0270.mp3</t>
  </si>
  <si>
    <t>https://www.internationalphoneticassociation.org/IPAcharts/inter_chart_2018/sounds/JE/0255.mp3</t>
  </si>
  <si>
    <t>https://www.internationalphoneticassociation.org/IPAcharts/inter_chart_2018/sounds/JW/031D_1.mp3</t>
  </si>
  <si>
    <t>https://www.internationalphoneticassociation.org/IPAcharts/inter_chart_2018/sounds/JE/029B.mp3</t>
  </si>
  <si>
    <t>https://www.internationalphoneticassociation.org/IPAcharts/inter_chart_2018/sounds/JE/03B8.mp3</t>
  </si>
  <si>
    <t>https://www.internationalphoneticassociation.org/IPAcharts/inter_chart_2018/sounds/JE/02B2_2.mp3</t>
  </si>
  <si>
    <t>https://www.internationalphoneticassociation.org/IPAcharts/inter_chart_2018/sounds/JH/028D.mp3</t>
  </si>
  <si>
    <t>https://www.internationalphoneticassociation.org/IPAcharts/inter_chart_2018/sounds/JH/00E6.mp3</t>
  </si>
  <si>
    <t>https://www.internationalphoneticassociation.org/IPAcharts/inter_chart_2018/sounds/JH/0070.mp3</t>
  </si>
  <si>
    <t>https://www.internationalphoneticassociation.org/IPAcharts/inter_chart_2018/sounds/JH/028F.mp3</t>
  </si>
  <si>
    <t>https://www.internationalphoneticassociation.org/IPAcharts/inter_chart_2018/sounds/PL/0251.mp3</t>
  </si>
  <si>
    <t>https://www.internationalphoneticassociation.org/IPAcharts/inter_chart_2018/sounds/JE/0294.mp3</t>
  </si>
  <si>
    <t>https://www.internationalphoneticassociation.org/IPAcharts/inter_chart_2018/sounds/PL/031F.mp3</t>
  </si>
  <si>
    <t>https://www.internationalphoneticassociation.org/IPAcharts/inter_chart_2018/sounds/JH/0258.mp3</t>
  </si>
  <si>
    <t>https://www.internationalphoneticassociation.org/IPAcharts/inter_chart_2018/sounds/PL/006E.mp3</t>
  </si>
  <si>
    <t>https://www.internationalphoneticassociation.org/IPAcharts/inter_chart_2018/sounds/PL/025B.mp3</t>
  </si>
  <si>
    <t>https://www.internationalphoneticassociation.org/IPAcharts/inter_chart_2018/sounds/JE/0073.mp3</t>
  </si>
  <si>
    <t>https://www.internationalphoneticassociation.org/IPAcharts/inter_chart_2018/sounds/JE/00F8.mp3</t>
  </si>
  <si>
    <t>https://www.internationalphoneticassociation.org/IPAcharts/inter_chart_2018/sounds/JW/0153.mp3</t>
  </si>
  <si>
    <t>https://www.internationalphoneticassociation.org/IPAcharts/inter_chart_2018/sounds/JW/0300.mp3</t>
  </si>
  <si>
    <t>https://www.internationalphoneticassociation.org/IPAcharts/inter_chart_2018/sounds/JH/027A.mp3</t>
  </si>
  <si>
    <t>https://www.internationalphoneticassociation.org/IPAcharts/inter_chart_2018/sounds/JE/0275.mp3</t>
  </si>
  <si>
    <t>https://www.internationalphoneticassociation.org/IPAcharts/inter_chart_2018/sounds/JW/02B2_2.mp3</t>
  </si>
  <si>
    <t>https://www.internationalphoneticassociation.org/IPAcharts/inter_chart_2018/sounds/JW/0303.mp3</t>
  </si>
  <si>
    <t>https://www.internationalphoneticassociation.org/IPAcharts/inter_chart_2018/sounds/JW/0068.mp3</t>
  </si>
  <si>
    <t>https://www.internationalphoneticassociation.org/IPAcharts/inter_chart_2018/sounds/JW/0254.mp3</t>
  </si>
  <si>
    <t>https://www.internationalphoneticassociation.org/IPAcharts/inter_chart_2018/sounds/JW/028C.mp3</t>
  </si>
  <si>
    <t>https://www.internationalphoneticassociation.org/IPAcharts/inter_chart_2018/sounds/JH/0075.mp3</t>
  </si>
  <si>
    <t>https://www.internationalphoneticassociation.org/IPAcharts/inter_chart_2018/sounds/PL/02B7_2.mp3</t>
  </si>
  <si>
    <t>https://www.internationalphoneticassociation.org/IPAcharts/inter_chart_2018/sounds/JW/0071.mp3</t>
  </si>
  <si>
    <t>https://www.internationalphoneticassociation.org/IPAcharts/inter_chart_2018/sounds/JH/0302.mp3</t>
  </si>
  <si>
    <t>https://www.internationalphoneticassociation.org/IPAcharts/inter_chart_2018/sounds/JE/01C2.mp3</t>
  </si>
  <si>
    <t>https://www.internationalphoneticassociation.org/IPAcharts/inter_chart_2018/sounds/JH/0273.mp3</t>
  </si>
  <si>
    <t>https://www.internationalphoneticassociation.org/IPAcharts/inter_chart_2018/sounds/PL/006D.mp3</t>
  </si>
  <si>
    <t>https://www.internationalphoneticassociation.org/IPAcharts/inter_chart_2018/sounds/PL/031D_2.mp3</t>
  </si>
  <si>
    <t>https://www.internationalphoneticassociation.org/IPAcharts/inter_chart_2018/sounds/JE/02DE_2.mp3</t>
  </si>
  <si>
    <t>https://www.internationalphoneticassociation.org/IPAcharts/inter_chart_2018/sounds/JE/027E.mp3</t>
  </si>
  <si>
    <t>https://www.internationalphoneticassociation.org/IPAcharts/inter_chart_2018/sounds/JW/028E.mp3</t>
  </si>
  <si>
    <t>https://www.internationalphoneticassociation.org/IPAcharts/inter_chart_2018/sounds/JW/0061.mp3</t>
  </si>
  <si>
    <t>https://www.internationalphoneticassociation.org/IPAcharts/inter_chart_2018/sounds/JE/2C71.mp3</t>
  </si>
  <si>
    <t>https://www.internationalphoneticassociation.org/IPAcharts/inter_chart_2018/sounds/JW/0260.mp3</t>
  </si>
  <si>
    <t>https://www.internationalphoneticassociation.org/IPAcharts/inter_chart_2018/sounds/JE/0260.mp3</t>
  </si>
  <si>
    <t>https://www.internationalphoneticassociation.org/IPAcharts/inter_chart_2018/sounds/JE/033B_2.mp3</t>
  </si>
  <si>
    <t>https://www.internationalphoneticassociation.org/IPAcharts/inter_chart_2018/sounds/PL/027B.mp3</t>
  </si>
  <si>
    <t>https://www.internationalphoneticassociation.org/IPAcharts/inter_chart_2018/sounds/JW/0292.mp3</t>
  </si>
  <si>
    <t>https://www.internationalphoneticassociation.org/IPAcharts/inter_chart_2018/sounds/JH/0062.mp3</t>
  </si>
  <si>
    <t>https://www.internationalphoneticassociation.org/IPAcharts/inter_chart_2018/sounds/JW/006F.mp3</t>
  </si>
  <si>
    <t>https://www.internationalphoneticassociation.org/IPAcharts/inter_chart_2018/sounds/JH/00F0.mp3</t>
  </si>
  <si>
    <t>https://www.internationalphoneticassociation.org/IPAcharts/inter_chart_2018/sounds/JH/02E4_1.mp3</t>
  </si>
  <si>
    <t>https://www.internationalphoneticassociation.org/IPAcharts/inter_chart_2018/sounds/JH/0263.mp3</t>
  </si>
  <si>
    <t>https://www.internationalphoneticassociation.org/IPAcharts/inter_chart_2018/sounds/JE/028C.mp3</t>
  </si>
  <si>
    <t>https://www.internationalphoneticassociation.org/IPAcharts/inter_chart_2018/sounds/JW/035C.mp3</t>
  </si>
  <si>
    <t>https://www.internationalphoneticassociation.org/IPAcharts/inter_chart_2018/sounds/JW/0289.mp3</t>
  </si>
  <si>
    <t>https://www.internationalphoneticassociation.org/IPAcharts/inter_chart_2018/sounds/PL/026A.mp3</t>
  </si>
  <si>
    <t>https://www.internationalphoneticassociation.org/IPAcharts/inter_chart_2018/sounds/JH/02E0_2.mp3</t>
  </si>
  <si>
    <t>https://www.internationalphoneticassociation.org/IPAcharts/inter_chart_2018/sounds/JH/027B.mp3</t>
  </si>
  <si>
    <t>https://www.internationalphoneticassociation.org/IPAcharts/inter_chart_2018/sounds/JE/0267.mp3</t>
  </si>
  <si>
    <t>https://www.internationalphoneticassociation.org/IPAcharts/inter_chart_2018/sounds/JH/0361.mp3</t>
  </si>
  <si>
    <t>https://www.internationalphoneticassociation.org/IPAcharts/inter_chart_2018/sounds/JE/0288.mp3</t>
  </si>
  <si>
    <t>https://www.internationalphoneticassociation.org/IPAcharts/inter_chart_2018/sounds/JW/031D_2.mp3</t>
  </si>
  <si>
    <t>https://www.internationalphoneticassociation.org/IPAcharts/inter_chart_2018/sounds/PL/207F.mp3</t>
  </si>
  <si>
    <t>https://www.internationalphoneticassociation.org/IPAcharts/inter_chart_2018/sounds/PL/031D_1.mp3</t>
  </si>
  <si>
    <t>https://www.internationalphoneticassociation.org/IPAcharts/inter_chart_2018/sounds/JH/0291.mp3</t>
  </si>
  <si>
    <t>https://www.internationalphoneticassociation.org/IPAcharts/inter_chart_2018/sounds/PL/0259.mp3</t>
  </si>
  <si>
    <t>https://www.internationalphoneticassociation.org/IPAcharts/inter_chart_2018/sounds/JE/0062.mp3</t>
  </si>
  <si>
    <t>https://www.internationalphoneticassociation.org/IPAcharts/inter_chart_2018/sounds/JW/02A1.mp3</t>
  </si>
  <si>
    <t>https://www.internationalphoneticassociation.org/IPAcharts/inter_chart_2018/sounds/PL/00F0.mp3</t>
  </si>
  <si>
    <t>https://www.internationalphoneticassociation.org/IPAcharts/inter_chart_2018/sounds/JE/0284.mp3</t>
  </si>
  <si>
    <t>https://www.internationalphoneticassociation.org/IPAcharts/inter_chart_2018/sounds/JW/032C_1.mp3</t>
  </si>
  <si>
    <t>https://www.internationalphoneticassociation.org/IPAcharts/inter_chart_2018/sounds/JE/0063.mp3</t>
  </si>
  <si>
    <t>https://www.internationalphoneticassociation.org/IPAcharts/inter_chart_2018/sounds/PL/02E4_2.mp3</t>
  </si>
  <si>
    <t>https://www.internationalphoneticassociation.org/IPAcharts/inter_chart_2018/sounds/PL/03B8.mp3</t>
  </si>
  <si>
    <t>https://www.internationalphoneticassociation.org/IPAcharts/inter_chart_2018/sounds/PL/0271.mp3</t>
  </si>
  <si>
    <t>https://www.internationalphoneticassociation.org/IPAcharts/inter_chart_2018/sounds/JE/006A.mp3</t>
  </si>
  <si>
    <t>https://www.internationalphoneticassociation.org/IPAcharts/inter_chart_2018/sounds/JH/0290.mp3</t>
  </si>
  <si>
    <t>https://www.internationalphoneticassociation.org/IPAcharts/inter_chart_2018/sounds/PL/006A.mp3</t>
  </si>
  <si>
    <t>https://www.internationalphoneticassociation.org/IPAcharts/inter_chart_2018/sounds/JW/006C.mp3</t>
  </si>
  <si>
    <t>https://www.internationalphoneticassociation.org/IPAcharts/inter_chart_2018/sounds/JW/02B2_1.mp3</t>
  </si>
  <si>
    <t>https://www.internationalphoneticassociation.org/IPAcharts/inter_chart_2018/sounds/PL/0254.mp3</t>
  </si>
  <si>
    <t>https://www.internationalphoneticassociation.org/IPAcharts/inter_chart_2018/sounds/JE/025E.mp3</t>
  </si>
  <si>
    <t>https://www.internationalphoneticassociation.org/IPAcharts/inter_chart_2018/sounds/JH/0251.mp3</t>
  </si>
  <si>
    <t>https://www.internationalphoneticassociation.org/IPAcharts/inter_chart_2018/sounds/JH/026E.mp3</t>
  </si>
  <si>
    <t>https://www.internationalphoneticassociation.org/IPAcharts/inter_chart_2018/sounds/JH/0325_2.mp3</t>
  </si>
  <si>
    <t>https://www.internationalphoneticassociation.org/IPAcharts/inter_chart_2018/sounds/JW/029D.mp3</t>
  </si>
  <si>
    <t>https://www.internationalphoneticassociation.org/IPAcharts/inter_chart_2018/sounds/JW/2197.mp3</t>
  </si>
  <si>
    <t>https://www.internationalphoneticassociation.org/IPAcharts/inter_chart_2018/sounds/JW/0072.mp3</t>
  </si>
  <si>
    <t>https://www.internationalphoneticassociation.org/IPAcharts/inter_chart_2018/sounds/JW/0267.mp3</t>
  </si>
  <si>
    <t>https://www.internationalphoneticassociation.org/IPAcharts/inter_chart_2018/sounds/JW/006D.mp3</t>
  </si>
  <si>
    <t>https://www.internationalphoneticassociation.org/IPAcharts/inter_chart_2018/sounds/JE/0075.mp3</t>
  </si>
  <si>
    <t>https://www.internationalphoneticassociation.org/IPAcharts/inter_chart_2018/sounds/JW/033A_2.mp3</t>
  </si>
  <si>
    <t>https://www.internationalphoneticassociation.org/IPAcharts/inter_chart_2018/sounds/JW/027B.mp3</t>
  </si>
  <si>
    <t>https://www.internationalphoneticassociation.org/IPAcharts/inter_chart_2018/sounds/JE/028B.mp3</t>
  </si>
  <si>
    <r>
      <rPr>
        <b/>
        <sz val="11"/>
        <color theme="1"/>
        <rFont val="Calibri"/>
        <family val="2"/>
        <scheme val="minor"/>
      </rPr>
      <t xml:space="preserve">Source: </t>
    </r>
    <r>
      <rPr>
        <sz val="11"/>
        <color theme="1"/>
        <rFont val="Calibri"/>
        <family val="2"/>
        <scheme val="minor"/>
      </rPr>
      <t>https://www.internationalphoneticassociation.org/IPAcharts/inter_chart_2018/IPA_2018.html</t>
    </r>
  </si>
  <si>
    <t>β̞</t>
  </si>
  <si>
    <t>u̟</t>
  </si>
  <si>
    <t>tʷ</t>
  </si>
  <si>
    <t>t͜s</t>
  </si>
  <si>
    <t>tʲ</t>
  </si>
  <si>
    <t>tʰ</t>
  </si>
  <si>
    <t>tˠ</t>
  </si>
  <si>
    <t>tˤ</t>
  </si>
  <si>
    <t>t̼</t>
  </si>
  <si>
    <t>t̻</t>
  </si>
  <si>
    <t>t̺</t>
  </si>
  <si>
    <t>t̬</t>
  </si>
  <si>
    <t>t̪</t>
  </si>
  <si>
    <t>s̬</t>
  </si>
  <si>
    <t>ɹ̝</t>
  </si>
  <si>
    <t>ŋ̊</t>
  </si>
  <si>
    <t>n̥</t>
  </si>
  <si>
    <t>ɫ</t>
  </si>
  <si>
    <t>k͡p</t>
  </si>
  <si>
    <t>eː</t>
  </si>
  <si>
    <t>eˑ</t>
  </si>
  <si>
    <t>ɚ</t>
  </si>
  <si>
    <t>e̽</t>
  </si>
  <si>
    <t>e̞</t>
  </si>
  <si>
    <t>e̝</t>
  </si>
  <si>
    <t>e̙</t>
  </si>
  <si>
    <t>e̘</t>
  </si>
  <si>
    <t>ȅ</t>
  </si>
  <si>
    <t>e᷈</t>
  </si>
  <si>
    <t>e᷅</t>
  </si>
  <si>
    <t>e᷄</t>
  </si>
  <si>
    <t>e̋</t>
  </si>
  <si>
    <t>ẽ</t>
  </si>
  <si>
    <t>ē</t>
  </si>
  <si>
    <t>ĕ</t>
  </si>
  <si>
    <t>ě</t>
  </si>
  <si>
    <t>ê</t>
  </si>
  <si>
    <t>è</t>
  </si>
  <si>
    <t>é</t>
  </si>
  <si>
    <t>dʷ</t>
  </si>
  <si>
    <t>dⁿ</t>
  </si>
  <si>
    <t>dˡ</t>
  </si>
  <si>
    <t>dʲ</t>
  </si>
  <si>
    <t>dʰ</t>
  </si>
  <si>
    <t>dˠ</t>
  </si>
  <si>
    <t>dˤ</t>
  </si>
  <si>
    <t>d̼</t>
  </si>
  <si>
    <t>d̻</t>
  </si>
  <si>
    <t>d̺</t>
  </si>
  <si>
    <t>d̪</t>
  </si>
  <si>
    <t>d̥</t>
  </si>
  <si>
    <t>d̚</t>
  </si>
  <si>
    <t>ɔ̹</t>
  </si>
  <si>
    <t>ɔ̜</t>
  </si>
  <si>
    <t>b̰</t>
  </si>
  <si>
    <t>b̤</t>
  </si>
  <si>
    <t>a˞</t>
  </si>
  <si>
    <t>a̰</t>
  </si>
  <si>
    <t>a̤</t>
  </si>
  <si>
    <t>↘What did you say you wanted?</t>
  </si>
  <si>
    <t>↗What did you say you wanted?</t>
  </si>
  <si>
    <r>
      <t>He’s determined to ꜜ</t>
    </r>
    <r>
      <rPr>
        <u/>
        <sz val="11"/>
        <color theme="1"/>
        <rFont val="Calibri"/>
        <family val="2"/>
        <scheme val="minor"/>
      </rPr>
      <t>take</t>
    </r>
    <r>
      <rPr>
        <sz val="11"/>
        <color theme="1"/>
        <rFont val="Calibri"/>
        <family val="2"/>
        <scheme val="minor"/>
      </rPr>
      <t xml:space="preserve"> charge.</t>
    </r>
  </si>
  <si>
    <r>
      <t>He’s determined to ꜛ</t>
    </r>
    <r>
      <rPr>
        <u/>
        <sz val="11"/>
        <color theme="1"/>
        <rFont val="Calibri"/>
        <family val="2"/>
        <scheme val="minor"/>
      </rPr>
      <t>take</t>
    </r>
    <r>
      <rPr>
        <sz val="11"/>
        <color theme="1"/>
        <rFont val="Calibri"/>
        <family val="2"/>
        <scheme val="minor"/>
      </rPr>
      <t xml:space="preserve"> charge.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</si>
</sst>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3" borderId="0" xfId="0" applyFill="1"/>
    <xf numFmtId="49" fontId="0" fillId="0" borderId="1" xfId="0" applyNumberFormat="1" applyFont="1" applyBorder="1"/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 shrinkToFit="1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30"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3</xdr:row>
      <xdr:rowOff>0</xdr:rowOff>
    </xdr:from>
    <xdr:to>
      <xdr:col>2</xdr:col>
      <xdr:colOff>1</xdr:colOff>
      <xdr:row>5</xdr:row>
      <xdr:rowOff>0</xdr:rowOff>
    </xdr:to>
    <xdr:sp macro="[0]!NewSound" textlink="">
      <xdr:nvSpPr>
        <xdr:cNvPr id="2" name="B_NewSound">
          <a:extLst>
            <a:ext uri="{FF2B5EF4-FFF2-40B4-BE49-F238E27FC236}">
              <a16:creationId xmlns:a16="http://schemas.microsoft.com/office/drawing/2014/main" id="{55438645-1123-4F2E-B620-5B130D4B772C}"/>
            </a:ext>
          </a:extLst>
        </xdr:cNvPr>
        <xdr:cNvSpPr/>
      </xdr:nvSpPr>
      <xdr:spPr>
        <a:xfrm>
          <a:off x="190502" y="190500"/>
          <a:ext cx="885824" cy="7620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NEW</a:t>
          </a:r>
          <a:br>
            <a:rPr lang="en-GB" sz="1200" b="1"/>
          </a:br>
          <a:r>
            <a:rPr lang="en-GB" sz="1200" b="1"/>
            <a:t>SOUND</a:t>
          </a:r>
          <a:endParaRPr lang="en-GB" sz="1200" b="1" baseline="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[0]!RevealAnswer" textlink="">
      <xdr:nvSpPr>
        <xdr:cNvPr id="3" name="B_RevealAnswer">
          <a:extLst>
            <a:ext uri="{FF2B5EF4-FFF2-40B4-BE49-F238E27FC236}">
              <a16:creationId xmlns:a16="http://schemas.microsoft.com/office/drawing/2014/main" id="{08A76E0E-B436-4753-B946-2B675CB80174}"/>
            </a:ext>
          </a:extLst>
        </xdr:cNvPr>
        <xdr:cNvSpPr/>
      </xdr:nvSpPr>
      <xdr:spPr>
        <a:xfrm>
          <a:off x="1333500" y="571500"/>
          <a:ext cx="952500" cy="7620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REVEAL</a:t>
          </a:r>
          <a:br>
            <a:rPr lang="en-GB" sz="1200" b="1"/>
          </a:br>
          <a:r>
            <a:rPr lang="en-GB" sz="1200" b="1"/>
            <a:t>ANSWER</a:t>
          </a:r>
          <a:endParaRPr lang="en-GB" sz="12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9</xdr:row>
      <xdr:rowOff>0</xdr:rowOff>
    </xdr:from>
    <xdr:to>
      <xdr:col>2</xdr:col>
      <xdr:colOff>935174</xdr:colOff>
      <xdr:row>10</xdr:row>
      <xdr:rowOff>0</xdr:rowOff>
    </xdr:to>
    <xdr:sp macro="[0]!M_TurnAllOffConsonantsPulmonic" textlink="">
      <xdr:nvSpPr>
        <xdr:cNvPr id="2" name="B_ResetWeighting">
          <a:extLst>
            <a:ext uri="{FF2B5EF4-FFF2-40B4-BE49-F238E27FC236}">
              <a16:creationId xmlns:a16="http://schemas.microsoft.com/office/drawing/2014/main" id="{3DC534DD-8E1B-4441-AB80-E346A0EA5D26}"/>
            </a:ext>
          </a:extLst>
        </xdr:cNvPr>
        <xdr:cNvSpPr/>
      </xdr:nvSpPr>
      <xdr:spPr>
        <a:xfrm>
          <a:off x="190499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/>
            <a:t>RESET WEIGHTING</a:t>
          </a:r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935175</xdr:colOff>
      <xdr:row>8</xdr:row>
      <xdr:rowOff>0</xdr:rowOff>
    </xdr:to>
    <xdr:sp macro="[0]!M_TurnAllOffConsonantsPulmonic" textlink="">
      <xdr:nvSpPr>
        <xdr:cNvPr id="28" name="B_TurnAllOff">
          <a:extLst>
            <a:ext uri="{FF2B5EF4-FFF2-40B4-BE49-F238E27FC236}">
              <a16:creationId xmlns:a16="http://schemas.microsoft.com/office/drawing/2014/main" id="{361E8802-0BAF-4386-BC72-425A5244C29C}"/>
            </a:ext>
          </a:extLst>
        </xdr:cNvPr>
        <xdr:cNvSpPr/>
      </xdr:nvSpPr>
      <xdr:spPr>
        <a:xfrm>
          <a:off x="190500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OFF</a:t>
          </a:r>
          <a:endParaRPr lang="en-GB" sz="1200" b="1" baseline="0"/>
        </a:p>
      </xdr:txBody>
    </xdr:sp>
    <xdr:clientData/>
  </xdr:twoCellAnchor>
  <xdr:twoCellAnchor>
    <xdr:from>
      <xdr:col>0</xdr:col>
      <xdr:colOff>190499</xdr:colOff>
      <xdr:row>5</xdr:row>
      <xdr:rowOff>0</xdr:rowOff>
    </xdr:from>
    <xdr:to>
      <xdr:col>2</xdr:col>
      <xdr:colOff>935174</xdr:colOff>
      <xdr:row>6</xdr:row>
      <xdr:rowOff>0</xdr:rowOff>
    </xdr:to>
    <xdr:sp macro="[0]!M_TurnAllOnConsonantsPulmonic" textlink="">
      <xdr:nvSpPr>
        <xdr:cNvPr id="3" name="B_TurnAllOn">
          <a:extLst>
            <a:ext uri="{FF2B5EF4-FFF2-40B4-BE49-F238E27FC236}">
              <a16:creationId xmlns:a16="http://schemas.microsoft.com/office/drawing/2014/main" id="{6BE5680D-57DB-4451-B2E1-970DC1CACEB4}"/>
            </a:ext>
          </a:extLst>
        </xdr:cNvPr>
        <xdr:cNvSpPr/>
      </xdr:nvSpPr>
      <xdr:spPr>
        <a:xfrm>
          <a:off x="190499" y="8572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ON</a:t>
          </a:r>
          <a:endParaRPr lang="en-GB" sz="1200" b="1" baseline="0"/>
        </a:p>
      </xdr:txBody>
    </xdr:sp>
    <xdr:clientData/>
  </xdr:twoCellAnchor>
  <xdr:twoCellAnchor>
    <xdr:from>
      <xdr:col>5</xdr:col>
      <xdr:colOff>190499</xdr:colOff>
      <xdr:row>9</xdr:row>
      <xdr:rowOff>0</xdr:rowOff>
    </xdr:from>
    <xdr:to>
      <xdr:col>7</xdr:col>
      <xdr:colOff>935174</xdr:colOff>
      <xdr:row>10</xdr:row>
      <xdr:rowOff>0</xdr:rowOff>
    </xdr:to>
    <xdr:sp macro="[0]!M_ResetWeightingConsonantsNonPulmonic" textlink="">
      <xdr:nvSpPr>
        <xdr:cNvPr id="29" name="B_ResetWeighting">
          <a:extLst>
            <a:ext uri="{FF2B5EF4-FFF2-40B4-BE49-F238E27FC236}">
              <a16:creationId xmlns:a16="http://schemas.microsoft.com/office/drawing/2014/main" id="{2A863895-521C-4ECF-9895-BDF28D96F4AE}"/>
            </a:ext>
          </a:extLst>
        </xdr:cNvPr>
        <xdr:cNvSpPr/>
      </xdr:nvSpPr>
      <xdr:spPr>
        <a:xfrm>
          <a:off x="190499" y="14287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/>
            <a:t>RESET WEIGHTING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935175</xdr:colOff>
      <xdr:row>8</xdr:row>
      <xdr:rowOff>0</xdr:rowOff>
    </xdr:to>
    <xdr:sp macro="[0]!M_TurnAllOffConsonantsNonPulmonic" textlink="">
      <xdr:nvSpPr>
        <xdr:cNvPr id="30" name="B_TurnAllOff">
          <a:extLst>
            <a:ext uri="{FF2B5EF4-FFF2-40B4-BE49-F238E27FC236}">
              <a16:creationId xmlns:a16="http://schemas.microsoft.com/office/drawing/2014/main" id="{1973A014-2BEF-4CD2-B769-C93D456D9B9E}"/>
            </a:ext>
          </a:extLst>
        </xdr:cNvPr>
        <xdr:cNvSpPr/>
      </xdr:nvSpPr>
      <xdr:spPr>
        <a:xfrm>
          <a:off x="190500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OFF</a:t>
          </a:r>
          <a:endParaRPr lang="en-GB" sz="1200" b="1" baseline="0"/>
        </a:p>
      </xdr:txBody>
    </xdr:sp>
    <xdr:clientData/>
  </xdr:twoCellAnchor>
  <xdr:twoCellAnchor>
    <xdr:from>
      <xdr:col>5</xdr:col>
      <xdr:colOff>190499</xdr:colOff>
      <xdr:row>5</xdr:row>
      <xdr:rowOff>0</xdr:rowOff>
    </xdr:from>
    <xdr:to>
      <xdr:col>7</xdr:col>
      <xdr:colOff>935174</xdr:colOff>
      <xdr:row>6</xdr:row>
      <xdr:rowOff>0</xdr:rowOff>
    </xdr:to>
    <xdr:sp macro="[0]!M_TurnAllOnConsonantsNonPulmonic" textlink="">
      <xdr:nvSpPr>
        <xdr:cNvPr id="31" name="B_TurnAllOn">
          <a:extLst>
            <a:ext uri="{FF2B5EF4-FFF2-40B4-BE49-F238E27FC236}">
              <a16:creationId xmlns:a16="http://schemas.microsoft.com/office/drawing/2014/main" id="{A87C6F54-4308-46BF-858B-871871CEBE21}"/>
            </a:ext>
          </a:extLst>
        </xdr:cNvPr>
        <xdr:cNvSpPr/>
      </xdr:nvSpPr>
      <xdr:spPr>
        <a:xfrm>
          <a:off x="190499" y="8572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ON</a:t>
          </a:r>
          <a:endParaRPr lang="en-GB" sz="1200" b="1" baseline="0"/>
        </a:p>
      </xdr:txBody>
    </xdr:sp>
    <xdr:clientData/>
  </xdr:twoCellAnchor>
  <xdr:twoCellAnchor>
    <xdr:from>
      <xdr:col>10</xdr:col>
      <xdr:colOff>190499</xdr:colOff>
      <xdr:row>9</xdr:row>
      <xdr:rowOff>0</xdr:rowOff>
    </xdr:from>
    <xdr:to>
      <xdr:col>12</xdr:col>
      <xdr:colOff>935174</xdr:colOff>
      <xdr:row>10</xdr:row>
      <xdr:rowOff>0</xdr:rowOff>
    </xdr:to>
    <xdr:sp macro="[0]!M_ResetWeightingOtherSymbols" textlink="">
      <xdr:nvSpPr>
        <xdr:cNvPr id="32" name="B_ResetWeighting">
          <a:extLst>
            <a:ext uri="{FF2B5EF4-FFF2-40B4-BE49-F238E27FC236}">
              <a16:creationId xmlns:a16="http://schemas.microsoft.com/office/drawing/2014/main" id="{38796DBF-EB7D-4E31-B307-D9E83A41161C}"/>
            </a:ext>
          </a:extLst>
        </xdr:cNvPr>
        <xdr:cNvSpPr/>
      </xdr:nvSpPr>
      <xdr:spPr>
        <a:xfrm>
          <a:off x="190499" y="14287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/>
            <a:t>RESET WEIGHTING</a:t>
          </a: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935175</xdr:colOff>
      <xdr:row>8</xdr:row>
      <xdr:rowOff>0</xdr:rowOff>
    </xdr:to>
    <xdr:sp macro="[0]!M_TurnAllOffOtherSymbols" textlink="">
      <xdr:nvSpPr>
        <xdr:cNvPr id="33" name="B_TurnAllOff">
          <a:extLst>
            <a:ext uri="{FF2B5EF4-FFF2-40B4-BE49-F238E27FC236}">
              <a16:creationId xmlns:a16="http://schemas.microsoft.com/office/drawing/2014/main" id="{1C29C711-E805-4ADB-8398-23C42BC12688}"/>
            </a:ext>
          </a:extLst>
        </xdr:cNvPr>
        <xdr:cNvSpPr/>
      </xdr:nvSpPr>
      <xdr:spPr>
        <a:xfrm>
          <a:off x="190500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OFF</a:t>
          </a:r>
          <a:endParaRPr lang="en-GB" sz="1200" b="1" baseline="0"/>
        </a:p>
      </xdr:txBody>
    </xdr:sp>
    <xdr:clientData/>
  </xdr:twoCellAnchor>
  <xdr:twoCellAnchor>
    <xdr:from>
      <xdr:col>10</xdr:col>
      <xdr:colOff>190499</xdr:colOff>
      <xdr:row>5</xdr:row>
      <xdr:rowOff>0</xdr:rowOff>
    </xdr:from>
    <xdr:to>
      <xdr:col>12</xdr:col>
      <xdr:colOff>935174</xdr:colOff>
      <xdr:row>6</xdr:row>
      <xdr:rowOff>0</xdr:rowOff>
    </xdr:to>
    <xdr:sp macro="[0]!M_TurnAllOnOtherSymbols" textlink="">
      <xdr:nvSpPr>
        <xdr:cNvPr id="34" name="B_TurnAllOn">
          <a:extLst>
            <a:ext uri="{FF2B5EF4-FFF2-40B4-BE49-F238E27FC236}">
              <a16:creationId xmlns:a16="http://schemas.microsoft.com/office/drawing/2014/main" id="{2506D8C7-45CD-4ED2-A4CF-D06DE86D1597}"/>
            </a:ext>
          </a:extLst>
        </xdr:cNvPr>
        <xdr:cNvSpPr/>
      </xdr:nvSpPr>
      <xdr:spPr>
        <a:xfrm>
          <a:off x="190499" y="8572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ON</a:t>
          </a:r>
          <a:endParaRPr lang="en-GB" sz="1200" b="1" baseline="0"/>
        </a:p>
      </xdr:txBody>
    </xdr:sp>
    <xdr:clientData/>
  </xdr:twoCellAnchor>
  <xdr:twoCellAnchor>
    <xdr:from>
      <xdr:col>15</xdr:col>
      <xdr:colOff>190499</xdr:colOff>
      <xdr:row>9</xdr:row>
      <xdr:rowOff>0</xdr:rowOff>
    </xdr:from>
    <xdr:to>
      <xdr:col>17</xdr:col>
      <xdr:colOff>935174</xdr:colOff>
      <xdr:row>10</xdr:row>
      <xdr:rowOff>0</xdr:rowOff>
    </xdr:to>
    <xdr:sp macro="[0]!M_ResetWeightingDiacritics" textlink="">
      <xdr:nvSpPr>
        <xdr:cNvPr id="35" name="B_ResetWeighting">
          <a:extLst>
            <a:ext uri="{FF2B5EF4-FFF2-40B4-BE49-F238E27FC236}">
              <a16:creationId xmlns:a16="http://schemas.microsoft.com/office/drawing/2014/main" id="{AAFC2524-D3F8-4F48-907F-C7EC5E25CF10}"/>
            </a:ext>
          </a:extLst>
        </xdr:cNvPr>
        <xdr:cNvSpPr/>
      </xdr:nvSpPr>
      <xdr:spPr>
        <a:xfrm>
          <a:off x="190499" y="14287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/>
            <a:t>RESET WEIGHTING</a:t>
          </a: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17</xdr:col>
      <xdr:colOff>935175</xdr:colOff>
      <xdr:row>8</xdr:row>
      <xdr:rowOff>0</xdr:rowOff>
    </xdr:to>
    <xdr:sp macro="[0]!M_TurnAllOffDiacritics" textlink="">
      <xdr:nvSpPr>
        <xdr:cNvPr id="36" name="B_TurnAllOff">
          <a:extLst>
            <a:ext uri="{FF2B5EF4-FFF2-40B4-BE49-F238E27FC236}">
              <a16:creationId xmlns:a16="http://schemas.microsoft.com/office/drawing/2014/main" id="{70953230-7BAC-4CB8-9449-EC2B89224CFF}"/>
            </a:ext>
          </a:extLst>
        </xdr:cNvPr>
        <xdr:cNvSpPr/>
      </xdr:nvSpPr>
      <xdr:spPr>
        <a:xfrm>
          <a:off x="190500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OFF</a:t>
          </a:r>
          <a:endParaRPr lang="en-GB" sz="1200" b="1" baseline="0"/>
        </a:p>
      </xdr:txBody>
    </xdr:sp>
    <xdr:clientData/>
  </xdr:twoCellAnchor>
  <xdr:twoCellAnchor>
    <xdr:from>
      <xdr:col>15</xdr:col>
      <xdr:colOff>190499</xdr:colOff>
      <xdr:row>5</xdr:row>
      <xdr:rowOff>0</xdr:rowOff>
    </xdr:from>
    <xdr:to>
      <xdr:col>17</xdr:col>
      <xdr:colOff>935174</xdr:colOff>
      <xdr:row>6</xdr:row>
      <xdr:rowOff>0</xdr:rowOff>
    </xdr:to>
    <xdr:sp macro="[0]!M_TurnAllOnDiacritics" textlink="">
      <xdr:nvSpPr>
        <xdr:cNvPr id="37" name="B_TurnAllOn">
          <a:extLst>
            <a:ext uri="{FF2B5EF4-FFF2-40B4-BE49-F238E27FC236}">
              <a16:creationId xmlns:a16="http://schemas.microsoft.com/office/drawing/2014/main" id="{910F3A4D-4E1B-48DB-873C-DE5FB0EAE49B}"/>
            </a:ext>
          </a:extLst>
        </xdr:cNvPr>
        <xdr:cNvSpPr/>
      </xdr:nvSpPr>
      <xdr:spPr>
        <a:xfrm>
          <a:off x="190499" y="8572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ON</a:t>
          </a:r>
          <a:endParaRPr lang="en-GB" sz="1200" b="1" baseline="0"/>
        </a:p>
      </xdr:txBody>
    </xdr:sp>
    <xdr:clientData/>
  </xdr:twoCellAnchor>
  <xdr:twoCellAnchor>
    <xdr:from>
      <xdr:col>20</xdr:col>
      <xdr:colOff>190499</xdr:colOff>
      <xdr:row>9</xdr:row>
      <xdr:rowOff>0</xdr:rowOff>
    </xdr:from>
    <xdr:to>
      <xdr:col>22</xdr:col>
      <xdr:colOff>935174</xdr:colOff>
      <xdr:row>10</xdr:row>
      <xdr:rowOff>0</xdr:rowOff>
    </xdr:to>
    <xdr:sp macro="[0]!M_ResetWeightingVowels" textlink="">
      <xdr:nvSpPr>
        <xdr:cNvPr id="38" name="B_ResetWeighting">
          <a:extLst>
            <a:ext uri="{FF2B5EF4-FFF2-40B4-BE49-F238E27FC236}">
              <a16:creationId xmlns:a16="http://schemas.microsoft.com/office/drawing/2014/main" id="{06A4DB11-B1D6-433D-A5EA-C309051570C7}"/>
            </a:ext>
          </a:extLst>
        </xdr:cNvPr>
        <xdr:cNvSpPr/>
      </xdr:nvSpPr>
      <xdr:spPr>
        <a:xfrm>
          <a:off x="190499" y="14287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/>
            <a:t>RESET WEIGHTING</a:t>
          </a:r>
        </a:p>
      </xdr:txBody>
    </xdr:sp>
    <xdr:clientData/>
  </xdr:twoCellAnchor>
  <xdr:twoCellAnchor>
    <xdr:from>
      <xdr:col>21</xdr:col>
      <xdr:colOff>0</xdr:colOff>
      <xdr:row>7</xdr:row>
      <xdr:rowOff>0</xdr:rowOff>
    </xdr:from>
    <xdr:to>
      <xdr:col>22</xdr:col>
      <xdr:colOff>935175</xdr:colOff>
      <xdr:row>8</xdr:row>
      <xdr:rowOff>0</xdr:rowOff>
    </xdr:to>
    <xdr:sp macro="[0]!M_TurnAllOffVowels" textlink="">
      <xdr:nvSpPr>
        <xdr:cNvPr id="39" name="B_TurnAllOff">
          <a:extLst>
            <a:ext uri="{FF2B5EF4-FFF2-40B4-BE49-F238E27FC236}">
              <a16:creationId xmlns:a16="http://schemas.microsoft.com/office/drawing/2014/main" id="{7A253413-0E76-4457-95E2-16C490DCE365}"/>
            </a:ext>
          </a:extLst>
        </xdr:cNvPr>
        <xdr:cNvSpPr/>
      </xdr:nvSpPr>
      <xdr:spPr>
        <a:xfrm>
          <a:off x="190500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OFF</a:t>
          </a:r>
          <a:endParaRPr lang="en-GB" sz="1200" b="1" baseline="0"/>
        </a:p>
      </xdr:txBody>
    </xdr:sp>
    <xdr:clientData/>
  </xdr:twoCellAnchor>
  <xdr:twoCellAnchor>
    <xdr:from>
      <xdr:col>20</xdr:col>
      <xdr:colOff>190499</xdr:colOff>
      <xdr:row>5</xdr:row>
      <xdr:rowOff>0</xdr:rowOff>
    </xdr:from>
    <xdr:to>
      <xdr:col>22</xdr:col>
      <xdr:colOff>935174</xdr:colOff>
      <xdr:row>6</xdr:row>
      <xdr:rowOff>0</xdr:rowOff>
    </xdr:to>
    <xdr:sp macro="[0]!M_TurnAllOnVowels" textlink="">
      <xdr:nvSpPr>
        <xdr:cNvPr id="40" name="B_TurnAllOn">
          <a:extLst>
            <a:ext uri="{FF2B5EF4-FFF2-40B4-BE49-F238E27FC236}">
              <a16:creationId xmlns:a16="http://schemas.microsoft.com/office/drawing/2014/main" id="{C8A04D5A-2E26-43D2-914F-DA72CB6CDCE1}"/>
            </a:ext>
          </a:extLst>
        </xdr:cNvPr>
        <xdr:cNvSpPr/>
      </xdr:nvSpPr>
      <xdr:spPr>
        <a:xfrm>
          <a:off x="190499" y="8572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ON</a:t>
          </a:r>
          <a:endParaRPr lang="en-GB" sz="1200" b="1" baseline="0"/>
        </a:p>
      </xdr:txBody>
    </xdr:sp>
    <xdr:clientData/>
  </xdr:twoCellAnchor>
  <xdr:twoCellAnchor>
    <xdr:from>
      <xdr:col>25</xdr:col>
      <xdr:colOff>190499</xdr:colOff>
      <xdr:row>9</xdr:row>
      <xdr:rowOff>0</xdr:rowOff>
    </xdr:from>
    <xdr:to>
      <xdr:col>27</xdr:col>
      <xdr:colOff>935174</xdr:colOff>
      <xdr:row>10</xdr:row>
      <xdr:rowOff>0</xdr:rowOff>
    </xdr:to>
    <xdr:sp macro="[0]!M_ResetWeightingSuprasegmentals" textlink="">
      <xdr:nvSpPr>
        <xdr:cNvPr id="41" name="B_ResetWeighting">
          <a:extLst>
            <a:ext uri="{FF2B5EF4-FFF2-40B4-BE49-F238E27FC236}">
              <a16:creationId xmlns:a16="http://schemas.microsoft.com/office/drawing/2014/main" id="{F2DAFDD8-71D1-4607-ACE3-A4D7D5694836}"/>
            </a:ext>
          </a:extLst>
        </xdr:cNvPr>
        <xdr:cNvSpPr/>
      </xdr:nvSpPr>
      <xdr:spPr>
        <a:xfrm>
          <a:off x="190499" y="14287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/>
            <a:t>RESET WEIGHTING</a:t>
          </a:r>
        </a:p>
      </xdr:txBody>
    </xdr:sp>
    <xdr:clientData/>
  </xdr:twoCellAnchor>
  <xdr:twoCellAnchor>
    <xdr:from>
      <xdr:col>26</xdr:col>
      <xdr:colOff>0</xdr:colOff>
      <xdr:row>7</xdr:row>
      <xdr:rowOff>0</xdr:rowOff>
    </xdr:from>
    <xdr:to>
      <xdr:col>27</xdr:col>
      <xdr:colOff>935175</xdr:colOff>
      <xdr:row>8</xdr:row>
      <xdr:rowOff>0</xdr:rowOff>
    </xdr:to>
    <xdr:sp macro="[0]!M_TurnAllOffSuprasegmentals" textlink="">
      <xdr:nvSpPr>
        <xdr:cNvPr id="42" name="B_TurnAllOff">
          <a:extLst>
            <a:ext uri="{FF2B5EF4-FFF2-40B4-BE49-F238E27FC236}">
              <a16:creationId xmlns:a16="http://schemas.microsoft.com/office/drawing/2014/main" id="{9B06B629-55E1-4A13-A303-AF9442D58931}"/>
            </a:ext>
          </a:extLst>
        </xdr:cNvPr>
        <xdr:cNvSpPr/>
      </xdr:nvSpPr>
      <xdr:spPr>
        <a:xfrm>
          <a:off x="190500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OFF</a:t>
          </a:r>
          <a:endParaRPr lang="en-GB" sz="1200" b="1" baseline="0"/>
        </a:p>
      </xdr:txBody>
    </xdr:sp>
    <xdr:clientData/>
  </xdr:twoCellAnchor>
  <xdr:twoCellAnchor>
    <xdr:from>
      <xdr:col>25</xdr:col>
      <xdr:colOff>190499</xdr:colOff>
      <xdr:row>5</xdr:row>
      <xdr:rowOff>0</xdr:rowOff>
    </xdr:from>
    <xdr:to>
      <xdr:col>27</xdr:col>
      <xdr:colOff>935174</xdr:colOff>
      <xdr:row>6</xdr:row>
      <xdr:rowOff>0</xdr:rowOff>
    </xdr:to>
    <xdr:sp macro="[0]!M_TurnAllOnSuprasegmentals" textlink="">
      <xdr:nvSpPr>
        <xdr:cNvPr id="43" name="B_TurnAllOn">
          <a:extLst>
            <a:ext uri="{FF2B5EF4-FFF2-40B4-BE49-F238E27FC236}">
              <a16:creationId xmlns:a16="http://schemas.microsoft.com/office/drawing/2014/main" id="{4D217661-3B43-4843-83B3-1BFF6E45B64B}"/>
            </a:ext>
          </a:extLst>
        </xdr:cNvPr>
        <xdr:cNvSpPr/>
      </xdr:nvSpPr>
      <xdr:spPr>
        <a:xfrm>
          <a:off x="190499" y="8572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ON</a:t>
          </a:r>
          <a:endParaRPr lang="en-GB" sz="1200" b="1" baseline="0"/>
        </a:p>
      </xdr:txBody>
    </xdr:sp>
    <xdr:clientData/>
  </xdr:twoCellAnchor>
  <xdr:twoCellAnchor>
    <xdr:from>
      <xdr:col>30</xdr:col>
      <xdr:colOff>190499</xdr:colOff>
      <xdr:row>9</xdr:row>
      <xdr:rowOff>0</xdr:rowOff>
    </xdr:from>
    <xdr:to>
      <xdr:col>32</xdr:col>
      <xdr:colOff>935174</xdr:colOff>
      <xdr:row>10</xdr:row>
      <xdr:rowOff>0</xdr:rowOff>
    </xdr:to>
    <xdr:sp macro="[0]!M_ResetWeightingTonesAndWordAccents" textlink="">
      <xdr:nvSpPr>
        <xdr:cNvPr id="44" name="B_ResetWeighting">
          <a:extLst>
            <a:ext uri="{FF2B5EF4-FFF2-40B4-BE49-F238E27FC236}">
              <a16:creationId xmlns:a16="http://schemas.microsoft.com/office/drawing/2014/main" id="{C93A74A9-E5FE-463D-A882-997D8B6FAA11}"/>
            </a:ext>
          </a:extLst>
        </xdr:cNvPr>
        <xdr:cNvSpPr/>
      </xdr:nvSpPr>
      <xdr:spPr>
        <a:xfrm>
          <a:off x="190499" y="14287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/>
            <a:t>RESET WEIGHTING</a:t>
          </a: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32</xdr:col>
      <xdr:colOff>935175</xdr:colOff>
      <xdr:row>8</xdr:row>
      <xdr:rowOff>0</xdr:rowOff>
    </xdr:to>
    <xdr:sp macro="[0]!M_TurnAllOffTonesAndWordAccents" textlink="">
      <xdr:nvSpPr>
        <xdr:cNvPr id="45" name="B_TurnAllOff">
          <a:extLst>
            <a:ext uri="{FF2B5EF4-FFF2-40B4-BE49-F238E27FC236}">
              <a16:creationId xmlns:a16="http://schemas.microsoft.com/office/drawing/2014/main" id="{43A35C0F-F9D7-41D6-81DB-CE45055B6759}"/>
            </a:ext>
          </a:extLst>
        </xdr:cNvPr>
        <xdr:cNvSpPr/>
      </xdr:nvSpPr>
      <xdr:spPr>
        <a:xfrm>
          <a:off x="190500" y="114300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OFF</a:t>
          </a:r>
          <a:endParaRPr lang="en-GB" sz="1200" b="1" baseline="0"/>
        </a:p>
      </xdr:txBody>
    </xdr:sp>
    <xdr:clientData/>
  </xdr:twoCellAnchor>
  <xdr:twoCellAnchor>
    <xdr:from>
      <xdr:col>30</xdr:col>
      <xdr:colOff>190499</xdr:colOff>
      <xdr:row>5</xdr:row>
      <xdr:rowOff>0</xdr:rowOff>
    </xdr:from>
    <xdr:to>
      <xdr:col>32</xdr:col>
      <xdr:colOff>935174</xdr:colOff>
      <xdr:row>6</xdr:row>
      <xdr:rowOff>0</xdr:rowOff>
    </xdr:to>
    <xdr:sp macro="[0]!M_TurnAllOnTonesAndWordAccents" textlink="">
      <xdr:nvSpPr>
        <xdr:cNvPr id="46" name="B_TurnAllOn">
          <a:extLst>
            <a:ext uri="{FF2B5EF4-FFF2-40B4-BE49-F238E27FC236}">
              <a16:creationId xmlns:a16="http://schemas.microsoft.com/office/drawing/2014/main" id="{4DBDC00E-8834-4DD8-A89F-E501E98D6EBC}"/>
            </a:ext>
          </a:extLst>
        </xdr:cNvPr>
        <xdr:cNvSpPr/>
      </xdr:nvSpPr>
      <xdr:spPr>
        <a:xfrm>
          <a:off x="190499" y="857250"/>
          <a:ext cx="1440000" cy="190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TURN ALL ON</a:t>
          </a:r>
          <a:endParaRPr lang="en-GB" sz="1200" b="1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1AB8ED-AEAF-4A6A-BD31-8A16D87CD2C0}" name="T_Symbols" displayName="T_Symbols" ref="A1:E179" totalsRowShown="0" headerRowDxfId="13" dataDxfId="12">
  <autoFilter ref="A1:E179" xr:uid="{AC1AB8ED-AEAF-4A6A-BD31-8A16D87CD2C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35D67C7-5127-4330-8BA9-07E08E73AD37}" name="ID" dataDxfId="11"/>
    <tableColumn id="6" xr3:uid="{2BD3342F-86EE-4807-AD37-4E1E524B55D3}" name="Symbol" dataDxfId="10"/>
    <tableColumn id="2" xr3:uid="{D0BD8E90-386D-43E4-A5B2-4C85D11C456B}" name="Description" dataDxfId="9"/>
    <tableColumn id="4" xr3:uid="{4174C0B6-CF4B-4464-8D25-7051D37205CA}" name="Weighting" dataDxfId="8">
      <calculatedColumnFormula>IF(Symbols!D13=1,IF(Symbols!E13="",1,Symbols!E13),0)</calculatedColumnFormula>
    </tableColumn>
    <tableColumn id="5" xr3:uid="{2227CFEB-40F3-4294-9595-A350EEB6E2FD}" name="Random" dataDxfId="7">
      <calculatedColumnFormula>IF(T_Symbols[[#This Row],[Weighting]]&gt;0,RAND()/IF(T_Symbols[[#This Row],[Weighting]]="",1,T_Symbols[[#This Row],[Weighting]]),"")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AAE321-D30F-4E8F-AD3C-3BAC5F3786DB}" name="T_MP3s" displayName="T_MP3s" ref="I1:M646" totalsRowShown="0" headerRowDxfId="6" dataDxfId="5">
  <autoFilter ref="I1:M646" xr:uid="{8DAAE321-D30F-4E8F-AD3C-3BAC5F3786DB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I2:M646">
    <sortCondition ref="M1:M646"/>
  </sortState>
  <tableColumns count="5">
    <tableColumn id="1" xr3:uid="{11F580D9-382B-45DF-8017-E09EC6AD3C9A}" name="ID" dataDxfId="4"/>
    <tableColumn id="2" xr3:uid="{6079351C-AA41-42DC-A1F0-DE595C9B0849}" name="Audio" dataDxfId="3"/>
    <tableColumn id="3" xr3:uid="{60682359-AEF0-42EE-85C9-21A3B210F6A0}" name="Extension" dataDxfId="2"/>
    <tableColumn id="4" xr3:uid="{6AD6B3EC-8016-455B-80E9-D5E98453BAE0}" name="MP3" dataDxfId="1"/>
    <tableColumn id="5" xr3:uid="{E3810AB4-A876-49E1-AFAE-EF70C7A00986}" name="Random" dataDxfId="0">
      <calculatedColumnFormula>IF(T_MP3s[[#This Row],[ID]]=$G$3,RAND(),"")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F0F67-879D-436E-BE13-24A96B2CEC6A}">
  <sheetPr codeName="Sheet5"/>
  <dimension ref="A1:S6"/>
  <sheetViews>
    <sheetView showGridLines="0" showRowColHeaders="0" tabSelected="1" workbookViewId="0"/>
  </sheetViews>
  <sheetFormatPr defaultColWidth="0" defaultRowHeight="15" zeroHeight="1" x14ac:dyDescent="0.25"/>
  <cols>
    <col min="1" max="1" width="2.85546875" style="12" customWidth="1"/>
    <col min="2" max="2" width="14.28515625" style="12" customWidth="1"/>
    <col min="3" max="3" width="2.85546875" style="12" customWidth="1"/>
    <col min="4" max="4" width="14.28515625" style="12" customWidth="1"/>
    <col min="5" max="5" width="2.85546875" style="12" customWidth="1"/>
    <col min="6" max="6" width="8.5703125" style="12" customWidth="1"/>
    <col min="7" max="7" width="2.85546875" style="12" customWidth="1"/>
    <col min="8" max="8" width="21.42578125" style="12" customWidth="1"/>
    <col min="9" max="9" width="2.85546875" style="12" customWidth="1"/>
    <col min="10" max="10" width="40.7109375" style="12" customWidth="1"/>
    <col min="11" max="11" width="2.85546875" style="12" customWidth="1"/>
    <col min="12" max="12" width="14.28515625" style="12" hidden="1" customWidth="1"/>
    <col min="13" max="14" width="2.85546875" style="12" hidden="1" customWidth="1"/>
    <col min="15" max="15" width="47.85546875" style="12" hidden="1" customWidth="1"/>
    <col min="16" max="19" width="0" style="12" hidden="1" customWidth="1"/>
    <col min="20" max="16384" width="2.85546875" style="12" hidden="1"/>
  </cols>
  <sheetData>
    <row r="1" spans="2:10" x14ac:dyDescent="0.25"/>
    <row r="2" spans="2:10" x14ac:dyDescent="0.25">
      <c r="B2" t="s">
        <v>1007</v>
      </c>
    </row>
    <row r="3" spans="2:10" x14ac:dyDescent="0.25"/>
    <row r="4" spans="2:10" x14ac:dyDescent="0.25">
      <c r="B4" s="19"/>
      <c r="D4" s="19"/>
      <c r="F4" s="8" t="s">
        <v>1</v>
      </c>
      <c r="H4" s="8" t="s">
        <v>2</v>
      </c>
      <c r="J4" s="8" t="s">
        <v>371</v>
      </c>
    </row>
    <row r="5" spans="2:10" ht="45" customHeight="1" x14ac:dyDescent="0.25">
      <c r="B5" s="19"/>
      <c r="D5" s="19"/>
      <c r="F5" s="15"/>
      <c r="H5" s="16"/>
      <c r="J5" s="17"/>
    </row>
    <row r="6" spans="2:10" x14ac:dyDescent="0.25"/>
  </sheetData>
  <sheetProtection sheet="1" objects="1" scenarios="1" selectLockedCells="1" selectUnlockedCells="1"/>
  <mergeCells count="2">
    <mergeCell ref="B4:B5"/>
    <mergeCell ref="D4:D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6C85E-5D59-4059-9EAA-B77E55CDC20B}">
  <sheetPr codeName="Sheet1"/>
  <dimension ref="B2:AI71"/>
  <sheetViews>
    <sheetView showGridLines="0" showRowColHeaders="0" workbookViewId="0">
      <selection activeCell="D13" sqref="D13"/>
    </sheetView>
  </sheetViews>
  <sheetFormatPr defaultColWidth="2.85546875" defaultRowHeight="15" x14ac:dyDescent="0.25"/>
  <cols>
    <col min="1" max="1" width="2.85546875" customWidth="1"/>
    <col min="2" max="2" width="7.5703125" bestFit="1" customWidth="1"/>
    <col min="3" max="3" width="47.85546875" bestFit="1" customWidth="1"/>
    <col min="4" max="4" width="7.28515625" bestFit="1" customWidth="1"/>
    <col min="5" max="5" width="10.28515625" bestFit="1" customWidth="1"/>
    <col min="7" max="7" width="7.5703125" bestFit="1" customWidth="1"/>
    <col min="8" max="8" width="28.28515625" bestFit="1" customWidth="1"/>
    <col min="9" max="9" width="7.28515625" bestFit="1" customWidth="1"/>
    <col min="10" max="10" width="10.28515625" bestFit="1" customWidth="1"/>
    <col min="12" max="12" width="7.5703125" bestFit="1" customWidth="1"/>
    <col min="13" max="13" width="43.28515625" bestFit="1" customWidth="1"/>
    <col min="14" max="14" width="7.28515625" bestFit="1" customWidth="1"/>
    <col min="15" max="15" width="10.28515625" bestFit="1" customWidth="1"/>
    <col min="17" max="17" width="7.5703125" bestFit="1" customWidth="1"/>
    <col min="18" max="18" width="30.140625" bestFit="1" customWidth="1"/>
    <col min="19" max="19" width="7.28515625" bestFit="1" customWidth="1"/>
    <col min="20" max="20" width="10.28515625" bestFit="1" customWidth="1"/>
    <col min="22" max="22" width="7.5703125" bestFit="1" customWidth="1"/>
    <col min="23" max="23" width="43.28515625" bestFit="1" customWidth="1"/>
    <col min="24" max="24" width="7.28515625" bestFit="1" customWidth="1"/>
    <col min="25" max="25" width="10.28515625" bestFit="1" customWidth="1"/>
    <col min="27" max="27" width="7.5703125" bestFit="1" customWidth="1"/>
    <col min="28" max="28" width="43.28515625" bestFit="1" customWidth="1"/>
    <col min="29" max="29" width="7.28515625" bestFit="1" customWidth="1"/>
    <col min="30" max="30" width="10.28515625" bestFit="1" customWidth="1"/>
    <col min="32" max="32" width="7.5703125" bestFit="1" customWidth="1"/>
    <col min="33" max="33" width="43.28515625" bestFit="1" customWidth="1"/>
    <col min="34" max="34" width="7.28515625" bestFit="1" customWidth="1"/>
    <col min="35" max="35" width="10.28515625" bestFit="1" customWidth="1"/>
  </cols>
  <sheetData>
    <row r="2" spans="2:35" x14ac:dyDescent="0.25">
      <c r="B2" t="s">
        <v>1007</v>
      </c>
    </row>
    <row r="4" spans="2:35" x14ac:dyDescent="0.25">
      <c r="B4" s="20" t="s">
        <v>183</v>
      </c>
      <c r="C4" s="20"/>
      <c r="D4" s="20"/>
      <c r="E4" s="20"/>
      <c r="G4" s="20" t="s">
        <v>185</v>
      </c>
      <c r="H4" s="20"/>
      <c r="I4" s="20"/>
      <c r="J4" s="20"/>
      <c r="L4" s="20" t="s">
        <v>186</v>
      </c>
      <c r="M4" s="20"/>
      <c r="N4" s="20"/>
      <c r="O4" s="20"/>
      <c r="Q4" s="20" t="s">
        <v>187</v>
      </c>
      <c r="R4" s="20"/>
      <c r="S4" s="20"/>
      <c r="T4" s="20"/>
      <c r="V4" s="20" t="s">
        <v>192</v>
      </c>
      <c r="W4" s="20"/>
      <c r="X4" s="20"/>
      <c r="Y4" s="20"/>
      <c r="AA4" s="20" t="s">
        <v>193</v>
      </c>
      <c r="AB4" s="20"/>
      <c r="AC4" s="20"/>
      <c r="AD4" s="20"/>
      <c r="AF4" s="20" t="s">
        <v>194</v>
      </c>
      <c r="AG4" s="20"/>
      <c r="AH4" s="20"/>
      <c r="AI4" s="20"/>
    </row>
    <row r="5" spans="2:35" ht="7.5" customHeight="1" x14ac:dyDescent="0.25">
      <c r="F5" s="18" t="s">
        <v>365</v>
      </c>
      <c r="H5" s="18" t="s">
        <v>171</v>
      </c>
      <c r="J5" s="18" t="s">
        <v>1045</v>
      </c>
    </row>
    <row r="6" spans="2:35" ht="15" customHeight="1" x14ac:dyDescent="0.25"/>
    <row r="7" spans="2:35" ht="7.5" customHeight="1" x14ac:dyDescent="0.25"/>
    <row r="8" spans="2:35" ht="15" customHeight="1" x14ac:dyDescent="0.25"/>
    <row r="9" spans="2:35" ht="7.5" customHeight="1" x14ac:dyDescent="0.25"/>
    <row r="10" spans="2:35" ht="15" customHeight="1" x14ac:dyDescent="0.25"/>
    <row r="11" spans="2:35" ht="7.5" customHeight="1" x14ac:dyDescent="0.25"/>
    <row r="12" spans="2:35" x14ac:dyDescent="0.25">
      <c r="B12" s="7" t="s">
        <v>1</v>
      </c>
      <c r="C12" s="7" t="s">
        <v>2</v>
      </c>
      <c r="D12" s="7" t="s">
        <v>3</v>
      </c>
      <c r="E12" s="5" t="s">
        <v>184</v>
      </c>
      <c r="G12" s="7" t="s">
        <v>1</v>
      </c>
      <c r="H12" s="7" t="s">
        <v>2</v>
      </c>
      <c r="I12" s="7" t="s">
        <v>3</v>
      </c>
      <c r="J12" s="5" t="s">
        <v>184</v>
      </c>
      <c r="L12" s="7" t="s">
        <v>1</v>
      </c>
      <c r="M12" s="7" t="s">
        <v>2</v>
      </c>
      <c r="N12" s="7" t="s">
        <v>3</v>
      </c>
      <c r="O12" s="5" t="s">
        <v>184</v>
      </c>
      <c r="Q12" s="7" t="s">
        <v>1</v>
      </c>
      <c r="R12" s="7" t="s">
        <v>2</v>
      </c>
      <c r="S12" s="7" t="s">
        <v>3</v>
      </c>
      <c r="T12" s="5" t="s">
        <v>184</v>
      </c>
      <c r="V12" s="7" t="s">
        <v>1</v>
      </c>
      <c r="W12" s="7" t="s">
        <v>2</v>
      </c>
      <c r="X12" s="7" t="s">
        <v>3</v>
      </c>
      <c r="Y12" s="5" t="s">
        <v>184</v>
      </c>
      <c r="AA12" s="8" t="s">
        <v>1</v>
      </c>
      <c r="AB12" s="8" t="s">
        <v>2</v>
      </c>
      <c r="AC12" s="8" t="s">
        <v>3</v>
      </c>
      <c r="AD12" s="5" t="s">
        <v>184</v>
      </c>
      <c r="AF12" s="7" t="s">
        <v>1</v>
      </c>
      <c r="AG12" s="7" t="s">
        <v>2</v>
      </c>
      <c r="AH12" s="7" t="s">
        <v>3</v>
      </c>
      <c r="AI12" s="5" t="s">
        <v>184</v>
      </c>
    </row>
    <row r="13" spans="2:35" x14ac:dyDescent="0.25">
      <c r="B13" s="4" t="s">
        <v>219</v>
      </c>
      <c r="C13" s="2" t="s">
        <v>5</v>
      </c>
      <c r="D13" s="6">
        <v>1</v>
      </c>
      <c r="E13" s="6">
        <v>1</v>
      </c>
      <c r="G13" s="4" t="s">
        <v>276</v>
      </c>
      <c r="H13" s="2" t="s">
        <v>64</v>
      </c>
      <c r="I13" s="6">
        <v>1</v>
      </c>
      <c r="J13" s="6">
        <v>1</v>
      </c>
      <c r="L13" s="4" t="s">
        <v>282</v>
      </c>
      <c r="M13" s="2" t="s">
        <v>79</v>
      </c>
      <c r="N13" s="6">
        <v>1</v>
      </c>
      <c r="O13" s="6">
        <v>1</v>
      </c>
      <c r="Q13" s="4" t="s">
        <v>335</v>
      </c>
      <c r="R13" s="2" t="s">
        <v>91</v>
      </c>
      <c r="S13" s="6">
        <v>1</v>
      </c>
      <c r="T13" s="6">
        <v>1</v>
      </c>
      <c r="V13" s="4" t="s">
        <v>190</v>
      </c>
      <c r="W13" s="2" t="s">
        <v>122</v>
      </c>
      <c r="X13" s="6">
        <v>1</v>
      </c>
      <c r="Y13" s="6">
        <v>1</v>
      </c>
      <c r="AA13" s="9" t="s">
        <v>196</v>
      </c>
      <c r="AB13" s="10" t="s">
        <v>150</v>
      </c>
      <c r="AC13" s="6">
        <v>1</v>
      </c>
      <c r="AD13" s="6">
        <v>1</v>
      </c>
      <c r="AF13" s="4" t="s">
        <v>218</v>
      </c>
      <c r="AG13" s="2" t="s">
        <v>159</v>
      </c>
      <c r="AH13" s="6">
        <v>1</v>
      </c>
      <c r="AI13" s="6">
        <v>1</v>
      </c>
    </row>
    <row r="14" spans="2:35" x14ac:dyDescent="0.25">
      <c r="B14" s="4" t="s">
        <v>220</v>
      </c>
      <c r="C14" s="2" t="s">
        <v>6</v>
      </c>
      <c r="D14" s="6">
        <v>1</v>
      </c>
      <c r="E14" s="6">
        <v>1</v>
      </c>
      <c r="G14" s="4" t="s">
        <v>277</v>
      </c>
      <c r="H14" s="2" t="s">
        <v>65</v>
      </c>
      <c r="I14" s="6">
        <v>1</v>
      </c>
      <c r="J14" s="6">
        <v>1</v>
      </c>
      <c r="L14" s="4" t="s">
        <v>284</v>
      </c>
      <c r="M14" s="2" t="s">
        <v>80</v>
      </c>
      <c r="N14" s="6">
        <v>1</v>
      </c>
      <c r="O14" s="6">
        <v>1</v>
      </c>
      <c r="Q14" s="4" t="s">
        <v>336</v>
      </c>
      <c r="R14" s="2" t="s">
        <v>92</v>
      </c>
      <c r="S14" s="6">
        <v>1</v>
      </c>
      <c r="T14" s="6">
        <v>1</v>
      </c>
      <c r="V14" s="4" t="s">
        <v>285</v>
      </c>
      <c r="W14" s="2" t="s">
        <v>123</v>
      </c>
      <c r="X14" s="6">
        <v>1</v>
      </c>
      <c r="Y14" s="6">
        <v>1</v>
      </c>
      <c r="AA14" s="9" t="s">
        <v>197</v>
      </c>
      <c r="AB14" s="10" t="s">
        <v>151</v>
      </c>
      <c r="AC14" s="6">
        <v>1</v>
      </c>
      <c r="AD14" s="6">
        <v>1</v>
      </c>
      <c r="AF14" s="4" t="s">
        <v>204</v>
      </c>
      <c r="AG14" s="2" t="s">
        <v>160</v>
      </c>
      <c r="AH14" s="11"/>
      <c r="AI14" s="11"/>
    </row>
    <row r="15" spans="2:35" x14ac:dyDescent="0.25">
      <c r="B15" s="4" t="s">
        <v>221</v>
      </c>
      <c r="C15" s="2" t="s">
        <v>7</v>
      </c>
      <c r="D15" s="6">
        <v>1</v>
      </c>
      <c r="E15" s="6">
        <v>1</v>
      </c>
      <c r="G15" s="4" t="s">
        <v>278</v>
      </c>
      <c r="H15" s="2" t="s">
        <v>66</v>
      </c>
      <c r="I15" s="1"/>
      <c r="J15" s="1"/>
      <c r="L15" s="4" t="s">
        <v>287</v>
      </c>
      <c r="M15" s="2" t="s">
        <v>81</v>
      </c>
      <c r="N15" s="6">
        <v>1</v>
      </c>
      <c r="O15" s="6">
        <v>1</v>
      </c>
      <c r="Q15" s="4" t="s">
        <v>337</v>
      </c>
      <c r="R15" s="2" t="s">
        <v>93</v>
      </c>
      <c r="S15" s="6">
        <v>1</v>
      </c>
      <c r="T15" s="6">
        <v>1</v>
      </c>
      <c r="V15" s="4" t="s">
        <v>288</v>
      </c>
      <c r="W15" s="2" t="s">
        <v>124</v>
      </c>
      <c r="X15" s="6">
        <v>1</v>
      </c>
      <c r="Y15" s="6">
        <v>1</v>
      </c>
      <c r="AA15" s="9" t="s">
        <v>198</v>
      </c>
      <c r="AB15" s="10" t="s">
        <v>152</v>
      </c>
      <c r="AC15" s="6">
        <v>1</v>
      </c>
      <c r="AD15" s="6">
        <v>1</v>
      </c>
      <c r="AF15" s="4" t="s">
        <v>360</v>
      </c>
      <c r="AG15" s="2" t="s">
        <v>161</v>
      </c>
      <c r="AH15" s="6">
        <v>1</v>
      </c>
      <c r="AI15" s="6">
        <v>1</v>
      </c>
    </row>
    <row r="16" spans="2:35" x14ac:dyDescent="0.25">
      <c r="B16" s="4" t="s">
        <v>222</v>
      </c>
      <c r="C16" s="2" t="s">
        <v>8</v>
      </c>
      <c r="D16" s="6">
        <v>1</v>
      </c>
      <c r="E16" s="6">
        <v>1</v>
      </c>
      <c r="G16" s="4" t="s">
        <v>279</v>
      </c>
      <c r="H16" s="2" t="s">
        <v>67</v>
      </c>
      <c r="I16" s="6">
        <v>1</v>
      </c>
      <c r="J16" s="6">
        <v>1</v>
      </c>
      <c r="L16" s="4" t="s">
        <v>290</v>
      </c>
      <c r="M16" s="2" t="s">
        <v>82</v>
      </c>
      <c r="N16" s="6">
        <v>1</v>
      </c>
      <c r="O16" s="6">
        <v>1</v>
      </c>
      <c r="Q16" s="4" t="s">
        <v>338</v>
      </c>
      <c r="R16" s="2" t="s">
        <v>94</v>
      </c>
      <c r="S16" s="6">
        <v>1</v>
      </c>
      <c r="T16" s="6">
        <v>1</v>
      </c>
      <c r="V16" s="4" t="s">
        <v>291</v>
      </c>
      <c r="W16" s="2" t="s">
        <v>125</v>
      </c>
      <c r="X16" s="6">
        <v>1</v>
      </c>
      <c r="Y16" s="6">
        <v>1</v>
      </c>
      <c r="AA16" s="9" t="s">
        <v>199</v>
      </c>
      <c r="AB16" s="10" t="s">
        <v>153</v>
      </c>
      <c r="AC16" s="6">
        <v>1</v>
      </c>
      <c r="AD16" s="6">
        <v>1</v>
      </c>
      <c r="AF16" s="4" t="s">
        <v>205</v>
      </c>
      <c r="AG16" s="2" t="s">
        <v>162</v>
      </c>
      <c r="AH16" s="11"/>
      <c r="AI16" s="11"/>
    </row>
    <row r="17" spans="2:35" x14ac:dyDescent="0.25">
      <c r="B17" s="4" t="s">
        <v>223</v>
      </c>
      <c r="C17" s="2" t="s">
        <v>9</v>
      </c>
      <c r="D17" s="6">
        <v>1</v>
      </c>
      <c r="E17" s="6">
        <v>1</v>
      </c>
      <c r="G17" s="4" t="s">
        <v>280</v>
      </c>
      <c r="H17" s="2" t="s">
        <v>68</v>
      </c>
      <c r="I17" s="6">
        <v>1</v>
      </c>
      <c r="J17" s="6">
        <v>1</v>
      </c>
      <c r="L17" s="4" t="s">
        <v>293</v>
      </c>
      <c r="M17" s="2" t="s">
        <v>83</v>
      </c>
      <c r="N17" s="6">
        <v>1</v>
      </c>
      <c r="O17" s="6">
        <v>1</v>
      </c>
      <c r="Q17" s="4" t="s">
        <v>339</v>
      </c>
      <c r="R17" s="2" t="s">
        <v>95</v>
      </c>
      <c r="S17" s="6">
        <v>1</v>
      </c>
      <c r="T17" s="6">
        <v>1</v>
      </c>
      <c r="V17" s="4" t="s">
        <v>294</v>
      </c>
      <c r="W17" s="2" t="s">
        <v>126</v>
      </c>
      <c r="X17" s="6">
        <v>1</v>
      </c>
      <c r="Y17" s="6">
        <v>1</v>
      </c>
      <c r="AA17" s="9" t="s">
        <v>203</v>
      </c>
      <c r="AB17" s="10" t="s">
        <v>154</v>
      </c>
      <c r="AC17" s="6">
        <v>1</v>
      </c>
      <c r="AD17" s="6">
        <v>1</v>
      </c>
      <c r="AF17" s="4" t="s">
        <v>361</v>
      </c>
      <c r="AG17" s="2" t="s">
        <v>163</v>
      </c>
      <c r="AH17" s="6">
        <v>1</v>
      </c>
      <c r="AI17" s="6">
        <v>1</v>
      </c>
    </row>
    <row r="18" spans="2:35" x14ac:dyDescent="0.25">
      <c r="B18" s="4" t="s">
        <v>224</v>
      </c>
      <c r="C18" s="2" t="s">
        <v>10</v>
      </c>
      <c r="D18" s="6">
        <v>1</v>
      </c>
      <c r="E18" s="6">
        <v>1</v>
      </c>
      <c r="G18" s="4" t="s">
        <v>281</v>
      </c>
      <c r="H18" s="2" t="s">
        <v>69</v>
      </c>
      <c r="I18" s="6">
        <v>1</v>
      </c>
      <c r="J18" s="6">
        <v>1</v>
      </c>
      <c r="L18" s="4" t="s">
        <v>296</v>
      </c>
      <c r="M18" s="2" t="s">
        <v>84</v>
      </c>
      <c r="N18" s="6">
        <v>1</v>
      </c>
      <c r="O18" s="6">
        <v>1</v>
      </c>
      <c r="Q18" s="4" t="s">
        <v>340</v>
      </c>
      <c r="R18" s="2" t="s">
        <v>96</v>
      </c>
      <c r="S18" s="6">
        <v>1</v>
      </c>
      <c r="T18" s="6">
        <v>1</v>
      </c>
      <c r="V18" s="4" t="s">
        <v>297</v>
      </c>
      <c r="W18" s="2" t="s">
        <v>127</v>
      </c>
      <c r="X18" s="6">
        <v>1</v>
      </c>
      <c r="Y18" s="6">
        <v>1</v>
      </c>
      <c r="AA18" s="9" t="s">
        <v>200</v>
      </c>
      <c r="AB18" s="10" t="s">
        <v>155</v>
      </c>
      <c r="AC18" s="11"/>
      <c r="AD18" s="11"/>
      <c r="AF18" s="4" t="s">
        <v>206</v>
      </c>
      <c r="AG18" s="2" t="s">
        <v>164</v>
      </c>
      <c r="AH18" s="11"/>
      <c r="AI18" s="11"/>
    </row>
    <row r="19" spans="2:35" x14ac:dyDescent="0.25">
      <c r="B19" s="4" t="s">
        <v>225</v>
      </c>
      <c r="C19" s="2" t="s">
        <v>11</v>
      </c>
      <c r="D19" s="6">
        <v>1</v>
      </c>
      <c r="E19" s="6">
        <v>1</v>
      </c>
      <c r="G19" s="4" t="s">
        <v>283</v>
      </c>
      <c r="H19" s="2" t="s">
        <v>70</v>
      </c>
      <c r="I19" s="6">
        <v>1</v>
      </c>
      <c r="J19" s="6">
        <v>1</v>
      </c>
      <c r="L19" s="4" t="s">
        <v>299</v>
      </c>
      <c r="M19" s="2" t="s">
        <v>85</v>
      </c>
      <c r="N19" s="6">
        <v>1</v>
      </c>
      <c r="O19" s="6">
        <v>1</v>
      </c>
      <c r="Q19" s="4" t="s">
        <v>300</v>
      </c>
      <c r="R19" s="2" t="s">
        <v>97</v>
      </c>
      <c r="S19" s="6">
        <v>1</v>
      </c>
      <c r="T19" s="6">
        <v>1</v>
      </c>
      <c r="V19" s="4" t="s">
        <v>301</v>
      </c>
      <c r="W19" s="2" t="s">
        <v>128</v>
      </c>
      <c r="X19" s="6">
        <v>1</v>
      </c>
      <c r="Y19" s="6">
        <v>1</v>
      </c>
      <c r="AA19" s="9" t="s">
        <v>201</v>
      </c>
      <c r="AB19" s="10" t="s">
        <v>156</v>
      </c>
      <c r="AC19" s="11"/>
      <c r="AD19" s="11"/>
      <c r="AF19" s="4" t="s">
        <v>362</v>
      </c>
      <c r="AG19" s="2" t="s">
        <v>165</v>
      </c>
      <c r="AH19" s="6">
        <v>1</v>
      </c>
      <c r="AI19" s="6">
        <v>1</v>
      </c>
    </row>
    <row r="20" spans="2:35" x14ac:dyDescent="0.25">
      <c r="B20" s="4" t="s">
        <v>226</v>
      </c>
      <c r="C20" s="2" t="s">
        <v>12</v>
      </c>
      <c r="D20" s="6">
        <v>1</v>
      </c>
      <c r="E20" s="6">
        <v>1</v>
      </c>
      <c r="G20" s="4" t="s">
        <v>286</v>
      </c>
      <c r="H20" s="2" t="s">
        <v>71</v>
      </c>
      <c r="I20" s="6">
        <v>1</v>
      </c>
      <c r="J20" s="6">
        <v>1</v>
      </c>
      <c r="L20" s="4" t="s">
        <v>303</v>
      </c>
      <c r="M20" s="2" t="s">
        <v>86</v>
      </c>
      <c r="N20" s="6">
        <v>1</v>
      </c>
      <c r="O20" s="6">
        <v>1</v>
      </c>
      <c r="Q20" s="4" t="s">
        <v>341</v>
      </c>
      <c r="R20" s="2" t="s">
        <v>98</v>
      </c>
      <c r="S20" s="6">
        <v>1</v>
      </c>
      <c r="T20" s="6">
        <v>1</v>
      </c>
      <c r="V20" s="4" t="s">
        <v>304</v>
      </c>
      <c r="W20" s="2" t="s">
        <v>129</v>
      </c>
      <c r="X20" s="6">
        <v>1</v>
      </c>
      <c r="Y20" s="6">
        <v>1</v>
      </c>
      <c r="AA20" s="9" t="s">
        <v>202</v>
      </c>
      <c r="AB20" s="10" t="s">
        <v>157</v>
      </c>
      <c r="AC20" s="6">
        <v>1</v>
      </c>
      <c r="AD20" s="6">
        <v>1</v>
      </c>
      <c r="AF20" s="4" t="s">
        <v>207</v>
      </c>
      <c r="AG20" s="2" t="s">
        <v>166</v>
      </c>
      <c r="AH20" s="11"/>
      <c r="AI20" s="11"/>
    </row>
    <row r="21" spans="2:35" x14ac:dyDescent="0.25">
      <c r="B21" s="4" t="s">
        <v>227</v>
      </c>
      <c r="C21" s="2" t="s">
        <v>13</v>
      </c>
      <c r="D21" s="6">
        <v>1</v>
      </c>
      <c r="E21" s="6">
        <v>1</v>
      </c>
      <c r="G21" s="4" t="s">
        <v>289</v>
      </c>
      <c r="H21" s="2" t="s">
        <v>72</v>
      </c>
      <c r="I21" s="6">
        <v>1</v>
      </c>
      <c r="J21" s="6">
        <v>1</v>
      </c>
      <c r="L21" s="4" t="s">
        <v>306</v>
      </c>
      <c r="M21" s="2" t="s">
        <v>87</v>
      </c>
      <c r="N21" s="6">
        <v>1</v>
      </c>
      <c r="O21" s="6">
        <v>1</v>
      </c>
      <c r="Q21" s="4" t="s">
        <v>342</v>
      </c>
      <c r="R21" s="2" t="s">
        <v>99</v>
      </c>
      <c r="S21" s="6">
        <v>1</v>
      </c>
      <c r="T21" s="6">
        <v>1</v>
      </c>
      <c r="V21" s="4" t="s">
        <v>307</v>
      </c>
      <c r="W21" s="2" t="s">
        <v>130</v>
      </c>
      <c r="X21" s="6">
        <v>1</v>
      </c>
      <c r="Y21" s="6">
        <v>1</v>
      </c>
      <c r="AA21" s="9" t="s">
        <v>359</v>
      </c>
      <c r="AB21" s="10" t="s">
        <v>158</v>
      </c>
      <c r="AC21" s="11"/>
      <c r="AD21" s="11"/>
      <c r="AF21" s="4" t="s">
        <v>363</v>
      </c>
      <c r="AG21" s="2" t="s">
        <v>167</v>
      </c>
      <c r="AH21" s="6">
        <v>1</v>
      </c>
      <c r="AI21" s="6">
        <v>1</v>
      </c>
    </row>
    <row r="22" spans="2:35" x14ac:dyDescent="0.25">
      <c r="B22" s="4" t="s">
        <v>228</v>
      </c>
      <c r="C22" s="2" t="s">
        <v>14</v>
      </c>
      <c r="D22" s="6">
        <v>1</v>
      </c>
      <c r="E22" s="6">
        <v>1</v>
      </c>
      <c r="G22" s="4" t="s">
        <v>292</v>
      </c>
      <c r="H22" s="2" t="s">
        <v>73</v>
      </c>
      <c r="I22" s="6">
        <v>1</v>
      </c>
      <c r="J22" s="6">
        <v>1</v>
      </c>
      <c r="L22" s="4" t="s">
        <v>309</v>
      </c>
      <c r="M22" s="2" t="s">
        <v>88</v>
      </c>
      <c r="N22" s="6">
        <v>1</v>
      </c>
      <c r="O22" s="6">
        <v>1</v>
      </c>
      <c r="Q22" s="4" t="s">
        <v>343</v>
      </c>
      <c r="R22" s="2" t="s">
        <v>100</v>
      </c>
      <c r="S22" s="6">
        <v>1</v>
      </c>
      <c r="T22" s="6">
        <v>1</v>
      </c>
      <c r="V22" s="4" t="s">
        <v>189</v>
      </c>
      <c r="W22" s="2" t="s">
        <v>131</v>
      </c>
      <c r="X22" s="6">
        <v>1</v>
      </c>
      <c r="Y22" s="6">
        <v>1</v>
      </c>
      <c r="AF22" s="4" t="s">
        <v>208</v>
      </c>
      <c r="AG22" s="2" t="s">
        <v>168</v>
      </c>
      <c r="AH22" s="11"/>
      <c r="AI22" s="11"/>
    </row>
    <row r="23" spans="2:35" x14ac:dyDescent="0.25">
      <c r="B23" s="4" t="s">
        <v>229</v>
      </c>
      <c r="C23" s="2" t="s">
        <v>15</v>
      </c>
      <c r="D23" s="6">
        <v>1</v>
      </c>
      <c r="E23" s="6">
        <v>1</v>
      </c>
      <c r="G23" s="4" t="s">
        <v>295</v>
      </c>
      <c r="H23" s="2" t="s">
        <v>74</v>
      </c>
      <c r="I23" s="6">
        <v>1</v>
      </c>
      <c r="J23" s="6">
        <v>1</v>
      </c>
      <c r="L23" s="4" t="s">
        <v>333</v>
      </c>
      <c r="M23" s="2" t="s">
        <v>89</v>
      </c>
      <c r="N23" s="6">
        <v>1</v>
      </c>
      <c r="O23" s="6">
        <v>1</v>
      </c>
      <c r="Q23" s="4" t="s">
        <v>310</v>
      </c>
      <c r="R23" s="2" t="s">
        <v>101</v>
      </c>
      <c r="S23" s="6">
        <v>1</v>
      </c>
      <c r="T23" s="6">
        <v>1</v>
      </c>
      <c r="V23" s="4" t="s">
        <v>311</v>
      </c>
      <c r="W23" s="2" t="s">
        <v>132</v>
      </c>
      <c r="X23" s="6">
        <v>1</v>
      </c>
      <c r="Y23" s="6">
        <v>1</v>
      </c>
      <c r="AF23" s="4" t="s">
        <v>364</v>
      </c>
      <c r="AG23" s="2" t="s">
        <v>169</v>
      </c>
      <c r="AH23" s="6">
        <v>1</v>
      </c>
      <c r="AI23" s="6">
        <v>1</v>
      </c>
    </row>
    <row r="24" spans="2:35" x14ac:dyDescent="0.25">
      <c r="B24" s="4" t="s">
        <v>230</v>
      </c>
      <c r="C24" s="2" t="s">
        <v>16</v>
      </c>
      <c r="D24" s="6">
        <v>1</v>
      </c>
      <c r="E24" s="6">
        <v>1</v>
      </c>
      <c r="G24" s="4" t="s">
        <v>298</v>
      </c>
      <c r="H24" s="2" t="s">
        <v>75</v>
      </c>
      <c r="I24" s="6">
        <v>1</v>
      </c>
      <c r="J24" s="6">
        <v>1</v>
      </c>
      <c r="L24" s="4" t="s">
        <v>334</v>
      </c>
      <c r="M24" s="2" t="s">
        <v>90</v>
      </c>
      <c r="N24" s="6">
        <v>1</v>
      </c>
      <c r="O24" s="6">
        <v>1</v>
      </c>
      <c r="Q24" s="4" t="s">
        <v>344</v>
      </c>
      <c r="R24" s="2" t="s">
        <v>102</v>
      </c>
      <c r="S24" s="6">
        <v>1</v>
      </c>
      <c r="T24" s="6">
        <v>1</v>
      </c>
      <c r="V24" s="4" t="s">
        <v>312</v>
      </c>
      <c r="W24" s="2" t="s">
        <v>133</v>
      </c>
      <c r="X24" s="6">
        <v>1</v>
      </c>
      <c r="Y24" s="6">
        <v>1</v>
      </c>
      <c r="AF24" s="4" t="s">
        <v>209</v>
      </c>
      <c r="AG24" s="2" t="s">
        <v>170</v>
      </c>
      <c r="AH24" s="11"/>
      <c r="AI24" s="11"/>
    </row>
    <row r="25" spans="2:35" x14ac:dyDescent="0.25">
      <c r="B25" s="4" t="s">
        <v>231</v>
      </c>
      <c r="C25" s="2" t="s">
        <v>17</v>
      </c>
      <c r="D25" s="6">
        <v>1</v>
      </c>
      <c r="E25" s="6">
        <v>1</v>
      </c>
      <c r="G25" s="4" t="s">
        <v>302</v>
      </c>
      <c r="H25" s="2" t="s">
        <v>76</v>
      </c>
      <c r="I25" s="6">
        <v>1</v>
      </c>
      <c r="J25" s="6">
        <v>1</v>
      </c>
      <c r="Q25" s="4" t="s">
        <v>345</v>
      </c>
      <c r="R25" s="2" t="s">
        <v>103</v>
      </c>
      <c r="S25" s="6">
        <v>1</v>
      </c>
      <c r="T25" s="6">
        <v>1</v>
      </c>
      <c r="V25" s="4" t="s">
        <v>313</v>
      </c>
      <c r="W25" s="2" t="s">
        <v>134</v>
      </c>
      <c r="X25" s="6">
        <v>1</v>
      </c>
      <c r="Y25" s="6">
        <v>1</v>
      </c>
      <c r="AF25" s="4" t="s">
        <v>365</v>
      </c>
      <c r="AG25" s="2" t="s">
        <v>171</v>
      </c>
      <c r="AH25" s="6">
        <v>1</v>
      </c>
      <c r="AI25" s="6">
        <v>1</v>
      </c>
    </row>
    <row r="26" spans="2:35" x14ac:dyDescent="0.25">
      <c r="B26" s="4" t="s">
        <v>232</v>
      </c>
      <c r="C26" s="2" t="s">
        <v>18</v>
      </c>
      <c r="D26" s="6">
        <v>1</v>
      </c>
      <c r="E26" s="6">
        <v>1</v>
      </c>
      <c r="G26" s="4" t="s">
        <v>305</v>
      </c>
      <c r="H26" s="2" t="s">
        <v>77</v>
      </c>
      <c r="I26" s="6">
        <v>1</v>
      </c>
      <c r="J26" s="6">
        <v>1</v>
      </c>
      <c r="Q26" s="4" t="s">
        <v>314</v>
      </c>
      <c r="R26" s="2" t="s">
        <v>104</v>
      </c>
      <c r="S26" s="6">
        <v>1</v>
      </c>
      <c r="T26" s="6">
        <v>1</v>
      </c>
      <c r="V26" s="4" t="s">
        <v>315</v>
      </c>
      <c r="W26" s="2" t="s">
        <v>135</v>
      </c>
      <c r="X26" s="6">
        <v>1</v>
      </c>
      <c r="Y26" s="6">
        <v>1</v>
      </c>
      <c r="AF26" s="4" t="s">
        <v>210</v>
      </c>
      <c r="AG26" s="2" t="s">
        <v>172</v>
      </c>
      <c r="AH26" s="11"/>
      <c r="AI26" s="11"/>
    </row>
    <row r="27" spans="2:35" x14ac:dyDescent="0.25">
      <c r="B27" s="4" t="s">
        <v>233</v>
      </c>
      <c r="C27" s="2" t="s">
        <v>19</v>
      </c>
      <c r="D27" s="6">
        <v>1</v>
      </c>
      <c r="E27" s="6">
        <v>1</v>
      </c>
      <c r="G27" s="4" t="s">
        <v>308</v>
      </c>
      <c r="H27" s="2" t="s">
        <v>78</v>
      </c>
      <c r="I27" s="6">
        <v>1</v>
      </c>
      <c r="J27" s="6">
        <v>1</v>
      </c>
      <c r="Q27" s="4" t="s">
        <v>316</v>
      </c>
      <c r="R27" s="2" t="s">
        <v>105</v>
      </c>
      <c r="S27" s="6">
        <v>1</v>
      </c>
      <c r="T27" s="6">
        <v>1</v>
      </c>
      <c r="V27" s="4" t="s">
        <v>317</v>
      </c>
      <c r="W27" s="2" t="s">
        <v>136</v>
      </c>
      <c r="X27" s="6">
        <v>1</v>
      </c>
      <c r="Y27" s="6">
        <v>1</v>
      </c>
      <c r="AF27" s="4" t="s">
        <v>366</v>
      </c>
      <c r="AG27" s="2" t="s">
        <v>173</v>
      </c>
      <c r="AH27" s="6">
        <v>1</v>
      </c>
      <c r="AI27" s="6">
        <v>1</v>
      </c>
    </row>
    <row r="28" spans="2:35" x14ac:dyDescent="0.25">
      <c r="B28" s="4" t="s">
        <v>234</v>
      </c>
      <c r="C28" s="2" t="s">
        <v>20</v>
      </c>
      <c r="D28" s="6">
        <v>1</v>
      </c>
      <c r="E28" s="6">
        <v>1</v>
      </c>
      <c r="Q28" s="4" t="s">
        <v>346</v>
      </c>
      <c r="R28" s="2" t="s">
        <v>106</v>
      </c>
      <c r="S28" s="6">
        <v>1</v>
      </c>
      <c r="T28" s="6">
        <v>1</v>
      </c>
      <c r="V28" s="4" t="s">
        <v>318</v>
      </c>
      <c r="W28" s="2" t="s">
        <v>137</v>
      </c>
      <c r="X28" s="6">
        <v>1</v>
      </c>
      <c r="Y28" s="6">
        <v>1</v>
      </c>
      <c r="AF28" s="4" t="s">
        <v>211</v>
      </c>
      <c r="AG28" s="2" t="s">
        <v>174</v>
      </c>
      <c r="AH28" s="11"/>
      <c r="AI28" s="11"/>
    </row>
    <row r="29" spans="2:35" x14ac:dyDescent="0.25">
      <c r="B29" s="4" t="s">
        <v>235</v>
      </c>
      <c r="C29" s="2" t="s">
        <v>21</v>
      </c>
      <c r="D29" s="6">
        <v>1</v>
      </c>
      <c r="E29" s="6">
        <v>1</v>
      </c>
      <c r="Q29" s="4" t="s">
        <v>319</v>
      </c>
      <c r="R29" s="2" t="s">
        <v>107</v>
      </c>
      <c r="S29" s="6">
        <v>1</v>
      </c>
      <c r="T29" s="6">
        <v>1</v>
      </c>
      <c r="V29" s="4" t="s">
        <v>320</v>
      </c>
      <c r="W29" s="2" t="s">
        <v>138</v>
      </c>
      <c r="X29" s="6">
        <v>1</v>
      </c>
      <c r="Y29" s="6">
        <v>1</v>
      </c>
      <c r="AF29" s="4" t="s">
        <v>367</v>
      </c>
      <c r="AG29" s="2" t="s">
        <v>175</v>
      </c>
      <c r="AH29" s="6">
        <v>1</v>
      </c>
      <c r="AI29" s="6">
        <v>1</v>
      </c>
    </row>
    <row r="30" spans="2:35" x14ac:dyDescent="0.25">
      <c r="B30" s="4" t="s">
        <v>236</v>
      </c>
      <c r="C30" s="2" t="s">
        <v>22</v>
      </c>
      <c r="D30" s="6">
        <v>1</v>
      </c>
      <c r="E30" s="6">
        <v>1</v>
      </c>
      <c r="Q30" s="4" t="s">
        <v>321</v>
      </c>
      <c r="R30" s="2" t="s">
        <v>108</v>
      </c>
      <c r="S30" s="6">
        <v>1</v>
      </c>
      <c r="T30" s="6">
        <v>1</v>
      </c>
      <c r="V30" s="4" t="s">
        <v>322</v>
      </c>
      <c r="W30" s="2" t="s">
        <v>139</v>
      </c>
      <c r="X30" s="6">
        <v>1</v>
      </c>
      <c r="Y30" s="6">
        <v>1</v>
      </c>
      <c r="AF30" s="4" t="s">
        <v>212</v>
      </c>
      <c r="AG30" s="2" t="s">
        <v>176</v>
      </c>
      <c r="AH30" s="11"/>
      <c r="AI30" s="11"/>
    </row>
    <row r="31" spans="2:35" x14ac:dyDescent="0.25">
      <c r="B31" s="4" t="s">
        <v>237</v>
      </c>
      <c r="C31" s="2" t="s">
        <v>23</v>
      </c>
      <c r="D31" s="6">
        <v>1</v>
      </c>
      <c r="E31" s="6">
        <v>1</v>
      </c>
      <c r="Q31" s="4" t="s">
        <v>347</v>
      </c>
      <c r="R31" s="2" t="s">
        <v>109</v>
      </c>
      <c r="S31" s="1"/>
      <c r="T31" s="1"/>
      <c r="V31" s="4" t="s">
        <v>323</v>
      </c>
      <c r="W31" s="2" t="s">
        <v>140</v>
      </c>
      <c r="X31" s="6">
        <v>1</v>
      </c>
      <c r="Y31" s="6">
        <v>1</v>
      </c>
      <c r="AF31" s="4" t="s">
        <v>368</v>
      </c>
      <c r="AG31" s="2" t="s">
        <v>177</v>
      </c>
      <c r="AH31" s="6">
        <v>1</v>
      </c>
      <c r="AI31" s="6">
        <v>1</v>
      </c>
    </row>
    <row r="32" spans="2:35" x14ac:dyDescent="0.25">
      <c r="B32" s="4" t="s">
        <v>238</v>
      </c>
      <c r="C32" s="2" t="s">
        <v>24</v>
      </c>
      <c r="D32" s="6">
        <v>1</v>
      </c>
      <c r="E32" s="6">
        <v>1</v>
      </c>
      <c r="Q32" s="4" t="s">
        <v>324</v>
      </c>
      <c r="R32" s="2" t="s">
        <v>110</v>
      </c>
      <c r="S32" s="6">
        <v>1</v>
      </c>
      <c r="T32" s="6">
        <v>1</v>
      </c>
      <c r="V32" s="4" t="s">
        <v>325</v>
      </c>
      <c r="W32" s="2" t="s">
        <v>141</v>
      </c>
      <c r="X32" s="6">
        <v>1</v>
      </c>
      <c r="Y32" s="6">
        <v>1</v>
      </c>
      <c r="AF32" s="4" t="s">
        <v>213</v>
      </c>
      <c r="AG32" s="2" t="s">
        <v>178</v>
      </c>
      <c r="AH32" s="11"/>
      <c r="AI32" s="11"/>
    </row>
    <row r="33" spans="2:35" x14ac:dyDescent="0.25">
      <c r="B33" s="4" t="s">
        <v>239</v>
      </c>
      <c r="C33" s="2" t="s">
        <v>25</v>
      </c>
      <c r="D33" s="6">
        <v>1</v>
      </c>
      <c r="E33" s="6">
        <v>1</v>
      </c>
      <c r="Q33" s="4" t="s">
        <v>349</v>
      </c>
      <c r="R33" s="2" t="s">
        <v>111</v>
      </c>
      <c r="S33" s="6">
        <v>1</v>
      </c>
      <c r="T33" s="6">
        <v>1</v>
      </c>
      <c r="V33" s="4" t="s">
        <v>326</v>
      </c>
      <c r="W33" s="2" t="s">
        <v>142</v>
      </c>
      <c r="X33" s="6">
        <v>1</v>
      </c>
      <c r="Y33" s="6">
        <v>1</v>
      </c>
      <c r="AF33" s="4" t="s">
        <v>214</v>
      </c>
      <c r="AG33" s="2" t="s">
        <v>179</v>
      </c>
      <c r="AH33" s="6">
        <v>1</v>
      </c>
      <c r="AI33" s="6">
        <v>1</v>
      </c>
    </row>
    <row r="34" spans="2:35" x14ac:dyDescent="0.25">
      <c r="B34" s="4" t="s">
        <v>240</v>
      </c>
      <c r="C34" s="2" t="s">
        <v>26</v>
      </c>
      <c r="D34" s="6">
        <v>1</v>
      </c>
      <c r="E34" s="6">
        <v>1</v>
      </c>
      <c r="Q34" s="4" t="s">
        <v>350</v>
      </c>
      <c r="R34" s="2" t="s">
        <v>112</v>
      </c>
      <c r="S34" s="1"/>
      <c r="T34" s="1"/>
      <c r="V34" s="4" t="s">
        <v>327</v>
      </c>
      <c r="W34" s="2" t="s">
        <v>143</v>
      </c>
      <c r="X34" s="6">
        <v>1</v>
      </c>
      <c r="Y34" s="6">
        <v>1</v>
      </c>
      <c r="AF34" s="4" t="s">
        <v>215</v>
      </c>
      <c r="AG34" s="2" t="s">
        <v>180</v>
      </c>
      <c r="AH34" s="6">
        <v>1</v>
      </c>
      <c r="AI34" s="6">
        <v>1</v>
      </c>
    </row>
    <row r="35" spans="2:35" x14ac:dyDescent="0.25">
      <c r="B35" s="4" t="s">
        <v>241</v>
      </c>
      <c r="C35" s="2" t="s">
        <v>27</v>
      </c>
      <c r="D35" s="6">
        <v>1</v>
      </c>
      <c r="E35" s="6">
        <v>1</v>
      </c>
      <c r="Q35" s="4" t="s">
        <v>351</v>
      </c>
      <c r="R35" s="2" t="s">
        <v>113</v>
      </c>
      <c r="S35" s="6">
        <v>1</v>
      </c>
      <c r="T35" s="6">
        <v>1</v>
      </c>
      <c r="V35" s="4" t="s">
        <v>328</v>
      </c>
      <c r="W35" s="2" t="s">
        <v>144</v>
      </c>
      <c r="X35" s="6">
        <v>1</v>
      </c>
      <c r="Y35" s="6">
        <v>1</v>
      </c>
      <c r="AF35" s="4" t="s">
        <v>216</v>
      </c>
      <c r="AG35" s="2" t="s">
        <v>181</v>
      </c>
      <c r="AH35" s="6">
        <v>1</v>
      </c>
      <c r="AI35" s="6">
        <v>1</v>
      </c>
    </row>
    <row r="36" spans="2:35" x14ac:dyDescent="0.25">
      <c r="B36" s="4" t="s">
        <v>242</v>
      </c>
      <c r="C36" s="2" t="s">
        <v>28</v>
      </c>
      <c r="D36" s="6">
        <v>1</v>
      </c>
      <c r="E36" s="6">
        <v>1</v>
      </c>
      <c r="Q36" s="4" t="s">
        <v>352</v>
      </c>
      <c r="R36" s="2" t="s">
        <v>114</v>
      </c>
      <c r="S36" s="6">
        <v>1</v>
      </c>
      <c r="T36" s="6">
        <v>1</v>
      </c>
      <c r="V36" s="4" t="s">
        <v>329</v>
      </c>
      <c r="W36" s="2" t="s">
        <v>145</v>
      </c>
      <c r="X36" s="6">
        <v>1</v>
      </c>
      <c r="Y36" s="6">
        <v>1</v>
      </c>
      <c r="AF36" s="4" t="s">
        <v>217</v>
      </c>
      <c r="AG36" s="2" t="s">
        <v>182</v>
      </c>
      <c r="AH36" s="6">
        <v>1</v>
      </c>
      <c r="AI36" s="6">
        <v>1</v>
      </c>
    </row>
    <row r="37" spans="2:35" x14ac:dyDescent="0.25">
      <c r="B37" s="4" t="s">
        <v>243</v>
      </c>
      <c r="C37" s="2" t="s">
        <v>29</v>
      </c>
      <c r="D37" s="6">
        <v>1</v>
      </c>
      <c r="E37" s="6">
        <v>1</v>
      </c>
      <c r="Q37" s="4" t="s">
        <v>353</v>
      </c>
      <c r="R37" s="2" t="s">
        <v>115</v>
      </c>
      <c r="S37" s="6">
        <v>1</v>
      </c>
      <c r="T37" s="6">
        <v>1</v>
      </c>
      <c r="V37" s="4" t="s">
        <v>188</v>
      </c>
      <c r="W37" s="2" t="s">
        <v>146</v>
      </c>
      <c r="X37" s="6">
        <v>1</v>
      </c>
      <c r="Y37" s="6">
        <v>1</v>
      </c>
    </row>
    <row r="38" spans="2:35" x14ac:dyDescent="0.25">
      <c r="B38" s="4" t="s">
        <v>244</v>
      </c>
      <c r="C38" s="2" t="s">
        <v>30</v>
      </c>
      <c r="D38" s="6">
        <v>1</v>
      </c>
      <c r="E38" s="6">
        <v>1</v>
      </c>
      <c r="Q38" s="4" t="s">
        <v>354</v>
      </c>
      <c r="R38" s="2" t="s">
        <v>116</v>
      </c>
      <c r="S38" s="1"/>
      <c r="T38" s="1"/>
      <c r="V38" s="4" t="s">
        <v>330</v>
      </c>
      <c r="W38" s="2" t="s">
        <v>147</v>
      </c>
      <c r="X38" s="6">
        <v>1</v>
      </c>
      <c r="Y38" s="6">
        <v>1</v>
      </c>
    </row>
    <row r="39" spans="2:35" x14ac:dyDescent="0.25">
      <c r="B39" s="4" t="s">
        <v>245</v>
      </c>
      <c r="C39" s="2" t="s">
        <v>31</v>
      </c>
      <c r="D39" s="6">
        <v>1</v>
      </c>
      <c r="E39" s="6">
        <v>1</v>
      </c>
      <c r="Q39" s="4" t="s">
        <v>355</v>
      </c>
      <c r="R39" s="2" t="s">
        <v>117</v>
      </c>
      <c r="S39" s="6">
        <v>1</v>
      </c>
      <c r="T39" s="6">
        <v>1</v>
      </c>
      <c r="V39" s="4" t="s">
        <v>331</v>
      </c>
      <c r="W39" s="2" t="s">
        <v>148</v>
      </c>
      <c r="X39" s="6">
        <v>1</v>
      </c>
      <c r="Y39" s="6">
        <v>1</v>
      </c>
    </row>
    <row r="40" spans="2:35" x14ac:dyDescent="0.25">
      <c r="B40" s="4" t="s">
        <v>246</v>
      </c>
      <c r="C40" s="2" t="s">
        <v>32</v>
      </c>
      <c r="D40" s="6">
        <v>1</v>
      </c>
      <c r="E40" s="6">
        <v>1</v>
      </c>
      <c r="Q40" s="4" t="s">
        <v>356</v>
      </c>
      <c r="R40" s="2" t="s">
        <v>118</v>
      </c>
      <c r="S40" s="1"/>
      <c r="T40" s="1"/>
      <c r="V40" s="4" t="s">
        <v>332</v>
      </c>
      <c r="W40" s="2" t="s">
        <v>149</v>
      </c>
      <c r="X40" s="6">
        <v>1</v>
      </c>
      <c r="Y40" s="6">
        <v>1</v>
      </c>
    </row>
    <row r="41" spans="2:35" x14ac:dyDescent="0.25">
      <c r="B41" s="4" t="s">
        <v>247</v>
      </c>
      <c r="C41" s="2" t="s">
        <v>33</v>
      </c>
      <c r="D41" s="6">
        <v>1</v>
      </c>
      <c r="E41" s="6">
        <v>1</v>
      </c>
      <c r="Q41" s="4" t="s">
        <v>357</v>
      </c>
      <c r="R41" s="2" t="s">
        <v>119</v>
      </c>
      <c r="S41" s="6">
        <v>1</v>
      </c>
      <c r="T41" s="6">
        <v>1</v>
      </c>
    </row>
    <row r="42" spans="2:35" x14ac:dyDescent="0.25">
      <c r="B42" s="4" t="s">
        <v>248</v>
      </c>
      <c r="C42" s="2" t="s">
        <v>34</v>
      </c>
      <c r="D42" s="6">
        <v>1</v>
      </c>
      <c r="E42" s="6">
        <v>1</v>
      </c>
      <c r="Q42" s="4" t="s">
        <v>348</v>
      </c>
      <c r="R42" s="2" t="s">
        <v>120</v>
      </c>
      <c r="S42" s="6">
        <v>1</v>
      </c>
      <c r="T42" s="6">
        <v>1</v>
      </c>
    </row>
    <row r="43" spans="2:35" x14ac:dyDescent="0.25">
      <c r="B43" s="4" t="s">
        <v>249</v>
      </c>
      <c r="C43" s="2" t="s">
        <v>35</v>
      </c>
      <c r="D43" s="6">
        <v>1</v>
      </c>
      <c r="E43" s="6">
        <v>1</v>
      </c>
      <c r="Q43" s="4" t="s">
        <v>358</v>
      </c>
      <c r="R43" s="2" t="s">
        <v>121</v>
      </c>
      <c r="S43" s="6">
        <v>1</v>
      </c>
      <c r="T43" s="6">
        <v>1</v>
      </c>
    </row>
    <row r="44" spans="2:35" x14ac:dyDescent="0.25">
      <c r="B44" s="4" t="s">
        <v>250</v>
      </c>
      <c r="C44" s="2" t="s">
        <v>36</v>
      </c>
      <c r="D44" s="6">
        <v>1</v>
      </c>
      <c r="E44" s="6">
        <v>1</v>
      </c>
    </row>
    <row r="45" spans="2:35" x14ac:dyDescent="0.25">
      <c r="B45" s="4" t="s">
        <v>251</v>
      </c>
      <c r="C45" s="2" t="s">
        <v>37</v>
      </c>
      <c r="D45" s="6">
        <v>1</v>
      </c>
      <c r="E45" s="6">
        <v>1</v>
      </c>
    </row>
    <row r="46" spans="2:35" x14ac:dyDescent="0.25">
      <c r="B46" s="4" t="s">
        <v>252</v>
      </c>
      <c r="C46" s="2" t="s">
        <v>38</v>
      </c>
      <c r="D46" s="6">
        <v>1</v>
      </c>
      <c r="E46" s="6">
        <v>1</v>
      </c>
    </row>
    <row r="47" spans="2:35" x14ac:dyDescent="0.25">
      <c r="B47" s="4" t="s">
        <v>253</v>
      </c>
      <c r="C47" s="2" t="s">
        <v>39</v>
      </c>
      <c r="D47" s="6">
        <v>1</v>
      </c>
      <c r="E47" s="6">
        <v>1</v>
      </c>
    </row>
    <row r="48" spans="2:35" x14ac:dyDescent="0.25">
      <c r="B48" s="4" t="s">
        <v>254</v>
      </c>
      <c r="C48" s="2" t="s">
        <v>40</v>
      </c>
      <c r="D48" s="6">
        <v>1</v>
      </c>
      <c r="E48" s="6">
        <v>1</v>
      </c>
    </row>
    <row r="49" spans="2:5" x14ac:dyDescent="0.25">
      <c r="B49" s="4" t="s">
        <v>255</v>
      </c>
      <c r="C49" s="2" t="s">
        <v>41</v>
      </c>
      <c r="D49" s="6">
        <v>1</v>
      </c>
      <c r="E49" s="6">
        <v>1</v>
      </c>
    </row>
    <row r="50" spans="2:5" x14ac:dyDescent="0.25">
      <c r="B50" s="4" t="s">
        <v>256</v>
      </c>
      <c r="C50" s="2" t="s">
        <v>42</v>
      </c>
      <c r="D50" s="6">
        <v>1</v>
      </c>
      <c r="E50" s="6">
        <v>1</v>
      </c>
    </row>
    <row r="51" spans="2:5" x14ac:dyDescent="0.25">
      <c r="B51" s="4" t="s">
        <v>257</v>
      </c>
      <c r="C51" s="2" t="s">
        <v>43</v>
      </c>
      <c r="D51" s="6">
        <v>1</v>
      </c>
      <c r="E51" s="6">
        <v>1</v>
      </c>
    </row>
    <row r="52" spans="2:5" x14ac:dyDescent="0.25">
      <c r="B52" s="4" t="s">
        <v>258</v>
      </c>
      <c r="C52" s="2" t="s">
        <v>44</v>
      </c>
      <c r="D52" s="6">
        <v>1</v>
      </c>
      <c r="E52" s="6">
        <v>1</v>
      </c>
    </row>
    <row r="53" spans="2:5" x14ac:dyDescent="0.25">
      <c r="B53" s="4" t="s">
        <v>259</v>
      </c>
      <c r="C53" s="2" t="s">
        <v>45</v>
      </c>
      <c r="D53" s="6">
        <v>1</v>
      </c>
      <c r="E53" s="6">
        <v>1</v>
      </c>
    </row>
    <row r="54" spans="2:5" x14ac:dyDescent="0.25">
      <c r="B54" s="4" t="s">
        <v>260</v>
      </c>
      <c r="C54" s="2" t="s">
        <v>46</v>
      </c>
      <c r="D54" s="6">
        <v>1</v>
      </c>
      <c r="E54" s="6">
        <v>1</v>
      </c>
    </row>
    <row r="55" spans="2:5" x14ac:dyDescent="0.25">
      <c r="B55" s="4" t="s">
        <v>261</v>
      </c>
      <c r="C55" s="2" t="s">
        <v>47</v>
      </c>
      <c r="D55" s="6">
        <v>1</v>
      </c>
      <c r="E55" s="6">
        <v>1</v>
      </c>
    </row>
    <row r="56" spans="2:5" x14ac:dyDescent="0.25">
      <c r="B56" s="4" t="s">
        <v>262</v>
      </c>
      <c r="C56" s="2" t="s">
        <v>48</v>
      </c>
      <c r="D56" s="6">
        <v>1</v>
      </c>
      <c r="E56" s="6">
        <v>1</v>
      </c>
    </row>
    <row r="57" spans="2:5" x14ac:dyDescent="0.25">
      <c r="B57" s="4" t="s">
        <v>263</v>
      </c>
      <c r="C57" s="2" t="s">
        <v>49</v>
      </c>
      <c r="D57" s="6">
        <v>1</v>
      </c>
      <c r="E57" s="6">
        <v>1</v>
      </c>
    </row>
    <row r="58" spans="2:5" x14ac:dyDescent="0.25">
      <c r="B58" s="4" t="s">
        <v>264</v>
      </c>
      <c r="C58" s="2" t="s">
        <v>50</v>
      </c>
      <c r="D58" s="6">
        <v>1</v>
      </c>
      <c r="E58" s="6">
        <v>1</v>
      </c>
    </row>
    <row r="59" spans="2:5" x14ac:dyDescent="0.25">
      <c r="B59" s="4" t="s">
        <v>195</v>
      </c>
      <c r="C59" s="2" t="s">
        <v>51</v>
      </c>
      <c r="D59" s="6">
        <v>1</v>
      </c>
      <c r="E59" s="6">
        <v>1</v>
      </c>
    </row>
    <row r="60" spans="2:5" x14ac:dyDescent="0.25">
      <c r="B60" s="4" t="s">
        <v>265</v>
      </c>
      <c r="C60" s="2" t="s">
        <v>52</v>
      </c>
      <c r="D60" s="6">
        <v>1</v>
      </c>
      <c r="E60" s="6">
        <v>1</v>
      </c>
    </row>
    <row r="61" spans="2:5" x14ac:dyDescent="0.25">
      <c r="B61" s="4" t="s">
        <v>266</v>
      </c>
      <c r="C61" s="2" t="s">
        <v>53</v>
      </c>
      <c r="D61" s="6">
        <v>1</v>
      </c>
      <c r="E61" s="6">
        <v>1</v>
      </c>
    </row>
    <row r="62" spans="2:5" x14ac:dyDescent="0.25">
      <c r="B62" s="4" t="s">
        <v>267</v>
      </c>
      <c r="C62" s="2" t="s">
        <v>54</v>
      </c>
      <c r="D62" s="6">
        <v>1</v>
      </c>
      <c r="E62" s="6">
        <v>1</v>
      </c>
    </row>
    <row r="63" spans="2:5" x14ac:dyDescent="0.25">
      <c r="B63" s="4" t="s">
        <v>268</v>
      </c>
      <c r="C63" s="2" t="s">
        <v>55</v>
      </c>
      <c r="D63" s="6">
        <v>1</v>
      </c>
      <c r="E63" s="6">
        <v>1</v>
      </c>
    </row>
    <row r="64" spans="2:5" x14ac:dyDescent="0.25">
      <c r="B64" s="4" t="s">
        <v>269</v>
      </c>
      <c r="C64" s="2" t="s">
        <v>56</v>
      </c>
      <c r="D64" s="6">
        <v>1</v>
      </c>
      <c r="E64" s="6">
        <v>1</v>
      </c>
    </row>
    <row r="65" spans="2:5" x14ac:dyDescent="0.25">
      <c r="B65" s="4" t="s">
        <v>270</v>
      </c>
      <c r="C65" s="2" t="s">
        <v>57</v>
      </c>
      <c r="D65" s="6">
        <v>1</v>
      </c>
      <c r="E65" s="6">
        <v>1</v>
      </c>
    </row>
    <row r="66" spans="2:5" x14ac:dyDescent="0.25">
      <c r="B66" s="4" t="s">
        <v>271</v>
      </c>
      <c r="C66" s="2" t="s">
        <v>58</v>
      </c>
      <c r="D66" s="6">
        <v>1</v>
      </c>
      <c r="E66" s="6">
        <v>1</v>
      </c>
    </row>
    <row r="67" spans="2:5" x14ac:dyDescent="0.25">
      <c r="B67" s="4" t="s">
        <v>272</v>
      </c>
      <c r="C67" s="2" t="s">
        <v>59</v>
      </c>
      <c r="D67" s="6">
        <v>1</v>
      </c>
      <c r="E67" s="6">
        <v>1</v>
      </c>
    </row>
    <row r="68" spans="2:5" x14ac:dyDescent="0.25">
      <c r="B68" s="4" t="s">
        <v>191</v>
      </c>
      <c r="C68" s="2" t="s">
        <v>60</v>
      </c>
      <c r="D68" s="6">
        <v>1</v>
      </c>
      <c r="E68" s="6">
        <v>1</v>
      </c>
    </row>
    <row r="69" spans="2:5" x14ac:dyDescent="0.25">
      <c r="B69" s="4" t="s">
        <v>273</v>
      </c>
      <c r="C69" s="2" t="s">
        <v>61</v>
      </c>
      <c r="D69" s="6">
        <v>1</v>
      </c>
      <c r="E69" s="6">
        <v>1</v>
      </c>
    </row>
    <row r="70" spans="2:5" x14ac:dyDescent="0.25">
      <c r="B70" s="4" t="s">
        <v>274</v>
      </c>
      <c r="C70" s="2" t="s">
        <v>62</v>
      </c>
      <c r="D70" s="6">
        <v>1</v>
      </c>
      <c r="E70" s="6">
        <v>1</v>
      </c>
    </row>
    <row r="71" spans="2:5" x14ac:dyDescent="0.25">
      <c r="B71" s="4" t="s">
        <v>275</v>
      </c>
      <c r="C71" s="2" t="s">
        <v>63</v>
      </c>
      <c r="D71" s="6">
        <v>1</v>
      </c>
      <c r="E71" s="6">
        <v>1</v>
      </c>
    </row>
  </sheetData>
  <sheetProtection sheet="1" objects="1" scenarios="1" selectLockedCells="1"/>
  <mergeCells count="7">
    <mergeCell ref="AF4:AI4"/>
    <mergeCell ref="B4:E4"/>
    <mergeCell ref="G4:J4"/>
    <mergeCell ref="L4:O4"/>
    <mergeCell ref="Q4:T4"/>
    <mergeCell ref="V4:Y4"/>
    <mergeCell ref="AA4:AD4"/>
  </mergeCells>
  <conditionalFormatting sqref="E16:E71">
    <cfRule type="expression" dxfId="29" priority="35">
      <formula>D16&lt;&gt;1</formula>
    </cfRule>
  </conditionalFormatting>
  <conditionalFormatting sqref="J18:J27">
    <cfRule type="expression" dxfId="28" priority="33">
      <formula>I18&lt;&gt;1</formula>
    </cfRule>
  </conditionalFormatting>
  <conditionalFormatting sqref="O13:O22">
    <cfRule type="expression" dxfId="27" priority="31">
      <formula>N13&lt;&gt;1</formula>
    </cfRule>
  </conditionalFormatting>
  <conditionalFormatting sqref="O23:O24">
    <cfRule type="expression" dxfId="26" priority="27">
      <formula>N23&lt;&gt;1</formula>
    </cfRule>
  </conditionalFormatting>
  <conditionalFormatting sqref="T13:T22">
    <cfRule type="expression" dxfId="25" priority="25">
      <formula>S13&lt;&gt;1</formula>
    </cfRule>
  </conditionalFormatting>
  <conditionalFormatting sqref="T23:T24">
    <cfRule type="expression" dxfId="24" priority="23">
      <formula>S23&lt;&gt;1</formula>
    </cfRule>
  </conditionalFormatting>
  <conditionalFormatting sqref="T25:T26">
    <cfRule type="expression" dxfId="23" priority="19">
      <formula>S25&lt;&gt;1</formula>
    </cfRule>
  </conditionalFormatting>
  <conditionalFormatting sqref="T27:T30 T32:T33 T35:T37 T39 T41:T43">
    <cfRule type="expression" dxfId="22" priority="17">
      <formula>S27&lt;&gt;1</formula>
    </cfRule>
  </conditionalFormatting>
  <conditionalFormatting sqref="Y13:Y22">
    <cfRule type="expression" dxfId="21" priority="15">
      <formula>X13&lt;&gt;1</formula>
    </cfRule>
  </conditionalFormatting>
  <conditionalFormatting sqref="Y23:Y40">
    <cfRule type="expression" dxfId="20" priority="13">
      <formula>X23&lt;&gt;1</formula>
    </cfRule>
  </conditionalFormatting>
  <conditionalFormatting sqref="AD13:AD17 AD20 AD22">
    <cfRule type="expression" dxfId="19" priority="11">
      <formula>AC13&lt;&gt;1</formula>
    </cfRule>
  </conditionalFormatting>
  <conditionalFormatting sqref="AD23:AD24">
    <cfRule type="expression" dxfId="18" priority="9">
      <formula>AC23&lt;&gt;1</formula>
    </cfRule>
  </conditionalFormatting>
  <conditionalFormatting sqref="AI13 AI15 AI17 AI19 AI21">
    <cfRule type="expression" dxfId="17" priority="7">
      <formula>AH13&lt;&gt;1</formula>
    </cfRule>
  </conditionalFormatting>
  <conditionalFormatting sqref="AI23 AI25 AI27 AI29 AI31 AI33:AI36">
    <cfRule type="expression" dxfId="16" priority="5">
      <formula>AH23&lt;&gt;1</formula>
    </cfRule>
  </conditionalFormatting>
  <conditionalFormatting sqref="J13:J14 J16:J17">
    <cfRule type="expression" dxfId="15" priority="3">
      <formula>I13&lt;&gt;1</formula>
    </cfRule>
  </conditionalFormatting>
  <conditionalFormatting sqref="E13:E15">
    <cfRule type="expression" dxfId="14" priority="1">
      <formula>D13&lt;&gt;1</formula>
    </cfRule>
  </conditionalFormatting>
  <dataValidations count="2">
    <dataValidation type="list" allowBlank="1" showInputMessage="1" showErrorMessage="1" errorTitle="Invalid entry" error="Add 1 or 0:_x000a__x000a_1 = On (green tick)_x000a_0 = Off (red cross)" promptTitle="On/Off" prompt="Add 1 or 0:_x000a__x000a_1 = On (green tick)_x000a_0 = Off (red cross)" sqref="I16:I27 AH33:AH36 N13:N24 I13:I14 S13:S30 S32:S33 S35:S37 S39 S41:S43 X13:X40 AC20 AC13:AC17 AH13 AH15 AH17 AH19 AH21 AH23 AH25 AH27 AH29 AH31 D13:D71" xr:uid="{28A7880F-82DF-46D4-B4D9-34D36D177E92}">
      <formula1>"1,0"</formula1>
    </dataValidation>
    <dataValidation type="decimal" operator="greaterThan" allowBlank="1" showInputMessage="1" showErrorMessage="1" errorTitle="Invalid entry" error="Enter a positive number" promptTitle="Weighting" prompt="The larger the weighting, the more likely the symbol is to appear." sqref="J16:J27 AI33:AI36 O13:O24 J13:J14 T13:T30 T32:T33 T35:T37 T39 T41:T43 Y13:Y40 AD20 AD13:AD17 AI13 AI15 AI17 AI19 AI21 AI23 AI25 AI27 AI29 AI31 E13:E71" xr:uid="{5CB81E3B-C78E-4B37-A2BA-607171899614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6" id="{EE7B3DCC-7DE5-4187-8824-181347AA6A4A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D16:D71</xm:sqref>
        </x14:conditionalFormatting>
        <x14:conditionalFormatting xmlns:xm="http://schemas.microsoft.com/office/excel/2006/main">
          <x14:cfRule type="iconSet" priority="37" id="{0EDA3D73-2173-40B3-9B05-222FF0BD7641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I18:I27</xm:sqref>
        </x14:conditionalFormatting>
        <x14:conditionalFormatting xmlns:xm="http://schemas.microsoft.com/office/excel/2006/main">
          <x14:cfRule type="iconSet" priority="38" id="{C1CBB342-E29F-4DCC-9E4A-6CFB426E3CC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N13:N22</xm:sqref>
        </x14:conditionalFormatting>
        <x14:conditionalFormatting xmlns:xm="http://schemas.microsoft.com/office/excel/2006/main">
          <x14:cfRule type="iconSet" priority="28" id="{3A08DD07-3F34-4C86-A5C2-A87EC001B1F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N23:N24</xm:sqref>
        </x14:conditionalFormatting>
        <x14:conditionalFormatting xmlns:xm="http://schemas.microsoft.com/office/excel/2006/main">
          <x14:cfRule type="iconSet" priority="26" id="{3D9B738F-1099-4C9C-9774-16FFCF2E8FB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S13:S22</xm:sqref>
        </x14:conditionalFormatting>
        <x14:conditionalFormatting xmlns:xm="http://schemas.microsoft.com/office/excel/2006/main">
          <x14:cfRule type="iconSet" priority="24" id="{B3DEDB51-007D-4D4C-9177-8EBC34E558D6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S23:S24</xm:sqref>
        </x14:conditionalFormatting>
        <x14:conditionalFormatting xmlns:xm="http://schemas.microsoft.com/office/excel/2006/main">
          <x14:cfRule type="iconSet" priority="20" id="{4F820D59-5178-4D20-82B7-514F942B2D26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S25:S26</xm:sqref>
        </x14:conditionalFormatting>
        <x14:conditionalFormatting xmlns:xm="http://schemas.microsoft.com/office/excel/2006/main">
          <x14:cfRule type="iconSet" priority="18" id="{E84362BE-FF64-4502-9656-A815F11365B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S27:S30 S32:S33 S35:S37 S39 S41:S43</xm:sqref>
        </x14:conditionalFormatting>
        <x14:conditionalFormatting xmlns:xm="http://schemas.microsoft.com/office/excel/2006/main">
          <x14:cfRule type="iconSet" priority="16" id="{91AB7BAF-BE76-4A56-81CE-4E41988B34DF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X13:X22</xm:sqref>
        </x14:conditionalFormatting>
        <x14:conditionalFormatting xmlns:xm="http://schemas.microsoft.com/office/excel/2006/main">
          <x14:cfRule type="iconSet" priority="14" id="{07A4769F-557A-4CAF-B140-190EC4CBECE1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X23:X40</xm:sqref>
        </x14:conditionalFormatting>
        <x14:conditionalFormatting xmlns:xm="http://schemas.microsoft.com/office/excel/2006/main">
          <x14:cfRule type="iconSet" priority="12" id="{9AE9ACAD-FD40-4BC1-B39E-C4E9F4C0D523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AC13:AC17 AC20 AC22</xm:sqref>
        </x14:conditionalFormatting>
        <x14:conditionalFormatting xmlns:xm="http://schemas.microsoft.com/office/excel/2006/main">
          <x14:cfRule type="iconSet" priority="10" id="{E7C5384E-1E8B-4403-A2CA-BE728D25FF4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AC23:AC24</xm:sqref>
        </x14:conditionalFormatting>
        <x14:conditionalFormatting xmlns:xm="http://schemas.microsoft.com/office/excel/2006/main">
          <x14:cfRule type="iconSet" priority="8" id="{23D6271D-EDC4-4FE5-90E7-98E6CED47BFE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AH13 AH15 AH17 AH19 AH21</xm:sqref>
        </x14:conditionalFormatting>
        <x14:conditionalFormatting xmlns:xm="http://schemas.microsoft.com/office/excel/2006/main">
          <x14:cfRule type="iconSet" priority="6" id="{F74554E0-2DB3-464C-8E21-4D59DB1B56A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AH23 AH25 AH27 AH29 AH31 AH33:AH36</xm:sqref>
        </x14:conditionalFormatting>
        <x14:conditionalFormatting xmlns:xm="http://schemas.microsoft.com/office/excel/2006/main">
          <x14:cfRule type="iconSet" priority="4" id="{34A00360-AACC-49ED-A9FC-2D2D0179DC4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I13:I14 I16:I17</xm:sqref>
        </x14:conditionalFormatting>
        <x14:conditionalFormatting xmlns:xm="http://schemas.microsoft.com/office/excel/2006/main">
          <x14:cfRule type="iconSet" priority="2" id="{7B38A160-87B8-4D97-911F-31C7837E33FE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D13:D71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7C8D0-1D13-4ABC-855D-1631EC8790A5}">
  <sheetPr codeName="Sheet2"/>
  <dimension ref="A1:M646"/>
  <sheetViews>
    <sheetView showGridLines="0" workbookViewId="0"/>
  </sheetViews>
  <sheetFormatPr defaultColWidth="2.85546875" defaultRowHeight="15" x14ac:dyDescent="0.25"/>
  <cols>
    <col min="1" max="1" width="4" style="12" bestFit="1" customWidth="1"/>
    <col min="2" max="2" width="7.5703125" style="12" customWidth="1"/>
    <col min="3" max="3" width="47.85546875" style="12" bestFit="1" customWidth="1"/>
    <col min="4" max="4" width="10.28515625" style="12" bestFit="1" customWidth="1"/>
    <col min="5" max="5" width="9.140625" style="12" customWidth="1"/>
    <col min="6" max="6" width="2.85546875" style="12"/>
    <col min="7" max="7" width="11" style="12" bestFit="1" customWidth="1"/>
    <col min="8" max="8" width="2.85546875" style="12"/>
    <col min="9" max="9" width="4" style="12" bestFit="1" customWidth="1"/>
    <col min="10" max="10" width="12.42578125" style="12" bestFit="1" customWidth="1"/>
    <col min="11" max="11" width="40.28515625" style="12" bestFit="1" customWidth="1"/>
    <col min="12" max="12" width="95.5703125" style="12" bestFit="1" customWidth="1"/>
    <col min="13" max="13" width="12" style="12" bestFit="1" customWidth="1"/>
    <col min="14" max="16384" width="2.85546875" style="12"/>
  </cols>
  <sheetData>
    <row r="1" spans="1:13" x14ac:dyDescent="0.25">
      <c r="A1" s="12" t="s">
        <v>0</v>
      </c>
      <c r="B1" s="12" t="s">
        <v>1</v>
      </c>
      <c r="C1" s="12" t="s">
        <v>2</v>
      </c>
      <c r="D1" s="12" t="s">
        <v>184</v>
      </c>
      <c r="E1" s="12" t="s">
        <v>4</v>
      </c>
      <c r="I1" s="12" t="s">
        <v>0</v>
      </c>
      <c r="J1" s="12" t="s">
        <v>370</v>
      </c>
      <c r="K1" s="12" t="s">
        <v>371</v>
      </c>
      <c r="L1" s="12" t="s">
        <v>372</v>
      </c>
      <c r="M1" s="12" t="s">
        <v>4</v>
      </c>
    </row>
    <row r="2" spans="1:13" x14ac:dyDescent="0.25">
      <c r="A2" s="12">
        <v>1</v>
      </c>
      <c r="B2" s="12" t="s">
        <v>219</v>
      </c>
      <c r="C2" s="13" t="s">
        <v>5</v>
      </c>
      <c r="D2" s="12">
        <f>IF(Symbols!D13=1,IF(Symbols!E13="",1,Symbols!E13),0)</f>
        <v>1</v>
      </c>
      <c r="E2" s="12">
        <f ca="1">IF(T_Symbols[[#This Row],[Weighting]]&gt;0,RAND()/IF(T_Symbols[[#This Row],[Weighting]]="",1,T_Symbols[[#This Row],[Weighting]]),"")</f>
        <v>0.98176382405769747</v>
      </c>
      <c r="G2" s="5" t="s">
        <v>369</v>
      </c>
      <c r="I2" s="12">
        <v>167</v>
      </c>
      <c r="J2" s="13" t="s">
        <v>392</v>
      </c>
      <c r="K2" s="12" t="s">
        <v>1045</v>
      </c>
      <c r="L2" s="13" t="s">
        <v>934</v>
      </c>
      <c r="M2" s="12">
        <f ca="1">IF(T_MP3s[[#This Row],[ID]]=$G$3,RAND(),"")</f>
        <v>0.84438274456596341</v>
      </c>
    </row>
    <row r="3" spans="1:13" x14ac:dyDescent="0.25">
      <c r="A3" s="12">
        <v>2</v>
      </c>
      <c r="B3" s="12" t="s">
        <v>220</v>
      </c>
      <c r="C3" s="13" t="s">
        <v>6</v>
      </c>
      <c r="D3" s="12">
        <f>IF(Symbols!D14=1,IF(Symbols!E14="",1,Symbols!E14),0)</f>
        <v>1</v>
      </c>
      <c r="E3" s="12">
        <f ca="1">IF(T_Symbols[[#This Row],[Weighting]]&gt;0,RAND()/IF(T_Symbols[[#This Row],[Weighting]]="",1,T_Symbols[[#This Row],[Weighting]]),"")</f>
        <v>0.78639434622982141</v>
      </c>
      <c r="G3" s="3">
        <v>167</v>
      </c>
      <c r="I3" s="12">
        <v>167</v>
      </c>
      <c r="J3" s="13" t="s">
        <v>378</v>
      </c>
      <c r="K3" s="12" t="s">
        <v>1045</v>
      </c>
      <c r="L3" s="13" t="s">
        <v>875</v>
      </c>
      <c r="M3" s="12">
        <f ca="1">IF(T_MP3s[[#This Row],[ID]]=$G$3,RAND(),"")</f>
        <v>0.23568232994039096</v>
      </c>
    </row>
    <row r="4" spans="1:13" x14ac:dyDescent="0.25">
      <c r="A4" s="12">
        <v>3</v>
      </c>
      <c r="B4" s="12" t="s">
        <v>221</v>
      </c>
      <c r="C4" s="13" t="s">
        <v>7</v>
      </c>
      <c r="D4" s="12">
        <f>IF(Symbols!D15=1,IF(Symbols!E15="",1,Symbols!E15),0)</f>
        <v>1</v>
      </c>
      <c r="E4" s="12">
        <f ca="1">IF(T_Symbols[[#This Row],[Weighting]]&gt;0,RAND()/IF(T_Symbols[[#This Row],[Weighting]]="",1,T_Symbols[[#This Row],[Weighting]]),"")</f>
        <v>0.67067682173329224</v>
      </c>
      <c r="I4" s="12">
        <v>167</v>
      </c>
      <c r="J4" s="13" t="s">
        <v>376</v>
      </c>
      <c r="K4" s="12" t="s">
        <v>1045</v>
      </c>
      <c r="L4" s="13" t="s">
        <v>506</v>
      </c>
      <c r="M4" s="12">
        <f ca="1">IF(T_MP3s[[#This Row],[ID]]=$G$3,RAND(),"")</f>
        <v>0.20898127361599284</v>
      </c>
    </row>
    <row r="5" spans="1:13" x14ac:dyDescent="0.25">
      <c r="A5" s="12">
        <v>4</v>
      </c>
      <c r="B5" s="12" t="s">
        <v>222</v>
      </c>
      <c r="C5" s="13" t="s">
        <v>8</v>
      </c>
      <c r="D5" s="12">
        <f>IF(Symbols!D16=1,IF(Symbols!E16="",1,Symbols!E16),0)</f>
        <v>1</v>
      </c>
      <c r="E5" s="12">
        <f ca="1">IF(T_Symbols[[#This Row],[Weighting]]&gt;0,RAND()/IF(T_Symbols[[#This Row],[Weighting]]="",1,T_Symbols[[#This Row],[Weighting]]),"")</f>
        <v>0.47104611787281991</v>
      </c>
      <c r="I5" s="12">
        <v>33</v>
      </c>
      <c r="J5" s="13" t="s">
        <v>392</v>
      </c>
      <c r="K5" s="12" t="s">
        <v>374</v>
      </c>
      <c r="L5" s="13" t="s">
        <v>672</v>
      </c>
      <c r="M5" s="12" t="str">
        <f ca="1">IF(T_MP3s[[#This Row],[ID]]=$G$3,RAND(),"")</f>
        <v/>
      </c>
    </row>
    <row r="6" spans="1:13" x14ac:dyDescent="0.25">
      <c r="A6" s="12">
        <v>5</v>
      </c>
      <c r="B6" s="12" t="s">
        <v>223</v>
      </c>
      <c r="C6" s="13" t="s">
        <v>9</v>
      </c>
      <c r="D6" s="12">
        <f>IF(Symbols!D17=1,IF(Symbols!E17="",1,Symbols!E17),0)</f>
        <v>1</v>
      </c>
      <c r="E6" s="12">
        <f ca="1">IF(T_Symbols[[#This Row],[Weighting]]&gt;0,RAND()/IF(T_Symbols[[#This Row],[Weighting]]="",1,T_Symbols[[#This Row],[Weighting]]),"")</f>
        <v>0.16811003737075647</v>
      </c>
      <c r="I6" s="12">
        <v>33</v>
      </c>
      <c r="J6" s="13" t="s">
        <v>376</v>
      </c>
      <c r="K6" s="12" t="s">
        <v>374</v>
      </c>
      <c r="L6" s="13" t="s">
        <v>573</v>
      </c>
      <c r="M6" s="12" t="str">
        <f ca="1">IF(T_MP3s[[#This Row],[ID]]=$G$3,RAND(),"")</f>
        <v/>
      </c>
    </row>
    <row r="7" spans="1:13" x14ac:dyDescent="0.25">
      <c r="A7" s="12">
        <v>6</v>
      </c>
      <c r="B7" s="12" t="s">
        <v>224</v>
      </c>
      <c r="C7" s="13" t="s">
        <v>10</v>
      </c>
      <c r="D7" s="12">
        <f>IF(Symbols!D18=1,IF(Symbols!E18="",1,Symbols!E18),0)</f>
        <v>1</v>
      </c>
      <c r="E7" s="12">
        <f ca="1">IF(T_Symbols[[#This Row],[Weighting]]&gt;0,RAND()/IF(T_Symbols[[#This Row],[Weighting]]="",1,T_Symbols[[#This Row],[Weighting]]),"")</f>
        <v>0.25955872889344966</v>
      </c>
      <c r="I7" s="12">
        <v>33</v>
      </c>
      <c r="J7" s="13" t="s">
        <v>373</v>
      </c>
      <c r="K7" s="12" t="s">
        <v>374</v>
      </c>
      <c r="L7" s="13" t="s">
        <v>607</v>
      </c>
      <c r="M7" s="12" t="str">
        <f ca="1">IF(T_MP3s[[#This Row],[ID]]=$G$3,RAND(),"")</f>
        <v/>
      </c>
    </row>
    <row r="8" spans="1:13" x14ac:dyDescent="0.25">
      <c r="A8" s="12">
        <v>7</v>
      </c>
      <c r="B8" s="12" t="s">
        <v>225</v>
      </c>
      <c r="C8" s="13" t="s">
        <v>11</v>
      </c>
      <c r="D8" s="12">
        <f>IF(Symbols!D19=1,IF(Symbols!E19="",1,Symbols!E19),0)</f>
        <v>1</v>
      </c>
      <c r="E8" s="12">
        <f ca="1">IF(T_Symbols[[#This Row],[Weighting]]&gt;0,RAND()/IF(T_Symbols[[#This Row],[Weighting]]="",1,T_Symbols[[#This Row],[Weighting]]),"")</f>
        <v>0.87047710396581801</v>
      </c>
      <c r="I8" s="12">
        <v>33</v>
      </c>
      <c r="J8" s="13" t="s">
        <v>378</v>
      </c>
      <c r="K8" s="12" t="s">
        <v>374</v>
      </c>
      <c r="L8" s="13" t="s">
        <v>931</v>
      </c>
      <c r="M8" s="12" t="str">
        <f ca="1">IF(T_MP3s[[#This Row],[ID]]=$G$3,RAND(),"")</f>
        <v/>
      </c>
    </row>
    <row r="9" spans="1:13" x14ac:dyDescent="0.25">
      <c r="A9" s="12">
        <v>8</v>
      </c>
      <c r="B9" s="12" t="s">
        <v>226</v>
      </c>
      <c r="C9" s="13" t="s">
        <v>12</v>
      </c>
      <c r="D9" s="12">
        <f>IF(Symbols!D20=1,IF(Symbols!E20="",1,Symbols!E20),0)</f>
        <v>1</v>
      </c>
      <c r="E9" s="12">
        <f ca="1">IF(T_Symbols[[#This Row],[Weighting]]&gt;0,RAND()/IF(T_Symbols[[#This Row],[Weighting]]="",1,T_Symbols[[#This Row],[Weighting]]),"")</f>
        <v>0.3788323078869168</v>
      </c>
      <c r="I9" s="12">
        <v>1</v>
      </c>
      <c r="J9" s="13" t="s">
        <v>378</v>
      </c>
      <c r="K9" s="12" t="s">
        <v>374</v>
      </c>
      <c r="L9" s="13" t="s">
        <v>391</v>
      </c>
      <c r="M9" s="12" t="str">
        <f ca="1">IF(T_MP3s[[#This Row],[ID]]=$G$3,RAND(),"")</f>
        <v/>
      </c>
    </row>
    <row r="10" spans="1:13" x14ac:dyDescent="0.25">
      <c r="A10" s="12">
        <v>9</v>
      </c>
      <c r="B10" s="12" t="s">
        <v>227</v>
      </c>
      <c r="C10" s="13" t="s">
        <v>13</v>
      </c>
      <c r="D10" s="12">
        <f>IF(Symbols!D21=1,IF(Symbols!E21="",1,Symbols!E21),0)</f>
        <v>1</v>
      </c>
      <c r="E10" s="12">
        <f ca="1">IF(T_Symbols[[#This Row],[Weighting]]&gt;0,RAND()/IF(T_Symbols[[#This Row],[Weighting]]="",1,T_Symbols[[#This Row],[Weighting]]),"")</f>
        <v>0.28890587217082853</v>
      </c>
      <c r="I10" s="12">
        <v>1</v>
      </c>
      <c r="J10" s="13" t="s">
        <v>373</v>
      </c>
      <c r="K10" s="12" t="s">
        <v>374</v>
      </c>
      <c r="L10" s="13" t="s">
        <v>923</v>
      </c>
      <c r="M10" s="12" t="str">
        <f ca="1">IF(T_MP3s[[#This Row],[ID]]=$G$3,RAND(),"")</f>
        <v/>
      </c>
    </row>
    <row r="11" spans="1:13" x14ac:dyDescent="0.25">
      <c r="A11" s="12">
        <v>10</v>
      </c>
      <c r="B11" s="12" t="s">
        <v>228</v>
      </c>
      <c r="C11" s="13" t="s">
        <v>14</v>
      </c>
      <c r="D11" s="12">
        <f>IF(Symbols!D22=1,IF(Symbols!E22="",1,Symbols!E22),0)</f>
        <v>1</v>
      </c>
      <c r="E11" s="12">
        <f ca="1">IF(T_Symbols[[#This Row],[Weighting]]&gt;0,RAND()/IF(T_Symbols[[#This Row],[Weighting]]="",1,T_Symbols[[#This Row],[Weighting]]),"")</f>
        <v>0.98039956436022646</v>
      </c>
      <c r="I11" s="12">
        <v>1</v>
      </c>
      <c r="J11" s="13" t="s">
        <v>392</v>
      </c>
      <c r="K11" s="12" t="s">
        <v>374</v>
      </c>
      <c r="L11" s="13" t="s">
        <v>414</v>
      </c>
      <c r="M11" s="12" t="str">
        <f ca="1">IF(T_MP3s[[#This Row],[ID]]=$G$3,RAND(),"")</f>
        <v/>
      </c>
    </row>
    <row r="12" spans="1:13" x14ac:dyDescent="0.25">
      <c r="A12" s="12">
        <v>11</v>
      </c>
      <c r="B12" s="12" t="s">
        <v>229</v>
      </c>
      <c r="C12" s="13" t="s">
        <v>15</v>
      </c>
      <c r="D12" s="12">
        <f>IF(Symbols!D23=1,IF(Symbols!E23="",1,Symbols!E23),0)</f>
        <v>1</v>
      </c>
      <c r="E12" s="12">
        <f ca="1">IF(T_Symbols[[#This Row],[Weighting]]&gt;0,RAND()/IF(T_Symbols[[#This Row],[Weighting]]="",1,T_Symbols[[#This Row],[Weighting]]),"")</f>
        <v>0.76482153742662429</v>
      </c>
      <c r="I12" s="12">
        <v>1</v>
      </c>
      <c r="J12" s="13" t="s">
        <v>376</v>
      </c>
      <c r="K12" s="12" t="s">
        <v>374</v>
      </c>
      <c r="L12" s="13" t="s">
        <v>592</v>
      </c>
      <c r="M12" s="12" t="str">
        <f ca="1">IF(T_MP3s[[#This Row],[ID]]=$G$3,RAND(),"")</f>
        <v/>
      </c>
    </row>
    <row r="13" spans="1:13" x14ac:dyDescent="0.25">
      <c r="A13" s="12">
        <v>12</v>
      </c>
      <c r="B13" s="12" t="s">
        <v>230</v>
      </c>
      <c r="C13" s="13" t="s">
        <v>16</v>
      </c>
      <c r="D13" s="12">
        <f>IF(Symbols!D24=1,IF(Symbols!E24="",1,Symbols!E24),0)</f>
        <v>1</v>
      </c>
      <c r="E13" s="12">
        <f ca="1">IF(T_Symbols[[#This Row],[Weighting]]&gt;0,RAND()/IF(T_Symbols[[#This Row],[Weighting]]="",1,T_Symbols[[#This Row],[Weighting]]),"")</f>
        <v>0.41400005470540069</v>
      </c>
      <c r="I13" s="12">
        <v>2</v>
      </c>
      <c r="J13" s="13" t="s">
        <v>378</v>
      </c>
      <c r="K13" s="12" t="s">
        <v>374</v>
      </c>
      <c r="L13" s="13" t="s">
        <v>979</v>
      </c>
      <c r="M13" s="12" t="str">
        <f ca="1">IF(T_MP3s[[#This Row],[ID]]=$G$3,RAND(),"")</f>
        <v/>
      </c>
    </row>
    <row r="14" spans="1:13" x14ac:dyDescent="0.25">
      <c r="A14" s="12">
        <v>13</v>
      </c>
      <c r="B14" s="12" t="s">
        <v>231</v>
      </c>
      <c r="C14" s="13" t="s">
        <v>17</v>
      </c>
      <c r="D14" s="12">
        <f>IF(Symbols!D25=1,IF(Symbols!E25="",1,Symbols!E25),0)</f>
        <v>1</v>
      </c>
      <c r="E14" s="12">
        <f ca="1">IF(T_Symbols[[#This Row],[Weighting]]&gt;0,RAND()/IF(T_Symbols[[#This Row],[Weighting]]="",1,T_Symbols[[#This Row],[Weighting]]),"")</f>
        <v>0.53019989809663537</v>
      </c>
      <c r="I14" s="12">
        <v>2</v>
      </c>
      <c r="J14" s="13" t="s">
        <v>373</v>
      </c>
      <c r="K14" s="12" t="s">
        <v>374</v>
      </c>
      <c r="L14" s="13" t="s">
        <v>960</v>
      </c>
      <c r="M14" s="12" t="str">
        <f ca="1">IF(T_MP3s[[#This Row],[ID]]=$G$3,RAND(),"")</f>
        <v/>
      </c>
    </row>
    <row r="15" spans="1:13" x14ac:dyDescent="0.25">
      <c r="A15" s="12">
        <v>14</v>
      </c>
      <c r="B15" s="12" t="s">
        <v>232</v>
      </c>
      <c r="C15" s="13" t="s">
        <v>18</v>
      </c>
      <c r="D15" s="12">
        <f>IF(Symbols!D26=1,IF(Symbols!E26="",1,Symbols!E26),0)</f>
        <v>1</v>
      </c>
      <c r="E15" s="12">
        <f ca="1">IF(T_Symbols[[#This Row],[Weighting]]&gt;0,RAND()/IF(T_Symbols[[#This Row],[Weighting]]="",1,T_Symbols[[#This Row],[Weighting]]),"")</f>
        <v>0.41231734359559957</v>
      </c>
      <c r="I15" s="12">
        <v>2</v>
      </c>
      <c r="J15" s="13" t="s">
        <v>392</v>
      </c>
      <c r="K15" s="12" t="s">
        <v>374</v>
      </c>
      <c r="L15" s="13" t="s">
        <v>712</v>
      </c>
      <c r="M15" s="12" t="str">
        <f ca="1">IF(T_MP3s[[#This Row],[ID]]=$G$3,RAND(),"")</f>
        <v/>
      </c>
    </row>
    <row r="16" spans="1:13" x14ac:dyDescent="0.25">
      <c r="A16" s="12">
        <v>15</v>
      </c>
      <c r="B16" s="12" t="s">
        <v>233</v>
      </c>
      <c r="C16" s="13" t="s">
        <v>19</v>
      </c>
      <c r="D16" s="12">
        <f>IF(Symbols!D27=1,IF(Symbols!E27="",1,Symbols!E27),0)</f>
        <v>1</v>
      </c>
      <c r="E16" s="12">
        <f ca="1">IF(T_Symbols[[#This Row],[Weighting]]&gt;0,RAND()/IF(T_Symbols[[#This Row],[Weighting]]="",1,T_Symbols[[#This Row],[Weighting]]),"")</f>
        <v>0.18228598819800934</v>
      </c>
      <c r="I16" s="12">
        <v>2</v>
      </c>
      <c r="J16" s="13" t="s">
        <v>376</v>
      </c>
      <c r="K16" s="12" t="s">
        <v>374</v>
      </c>
      <c r="L16" s="13" t="s">
        <v>619</v>
      </c>
      <c r="M16" s="12" t="str">
        <f ca="1">IF(T_MP3s[[#This Row],[ID]]=$G$3,RAND(),"")</f>
        <v/>
      </c>
    </row>
    <row r="17" spans="1:13" x14ac:dyDescent="0.25">
      <c r="A17" s="12">
        <v>16</v>
      </c>
      <c r="B17" s="12" t="s">
        <v>234</v>
      </c>
      <c r="C17" s="13" t="s">
        <v>20</v>
      </c>
      <c r="D17" s="12">
        <f>IF(Symbols!D28=1,IF(Symbols!E28="",1,Symbols!E28),0)</f>
        <v>1</v>
      </c>
      <c r="E17" s="12">
        <f ca="1">IF(T_Symbols[[#This Row],[Weighting]]&gt;0,RAND()/IF(T_Symbols[[#This Row],[Weighting]]="",1,T_Symbols[[#This Row],[Weighting]]),"")</f>
        <v>0.40005856992793309</v>
      </c>
      <c r="I17" s="12">
        <v>3</v>
      </c>
      <c r="J17" s="13" t="s">
        <v>378</v>
      </c>
      <c r="K17" s="12" t="s">
        <v>374</v>
      </c>
      <c r="L17" s="13" t="s">
        <v>635</v>
      </c>
      <c r="M17" s="12" t="str">
        <f ca="1">IF(T_MP3s[[#This Row],[ID]]=$G$3,RAND(),"")</f>
        <v/>
      </c>
    </row>
    <row r="18" spans="1:13" x14ac:dyDescent="0.25">
      <c r="A18" s="12">
        <v>17</v>
      </c>
      <c r="B18" s="12" t="s">
        <v>235</v>
      </c>
      <c r="C18" s="13" t="s">
        <v>21</v>
      </c>
      <c r="D18" s="12">
        <f>IF(Symbols!D29=1,IF(Symbols!E29="",1,Symbols!E29),0)</f>
        <v>1</v>
      </c>
      <c r="E18" s="12">
        <f ca="1">IF(T_Symbols[[#This Row],[Weighting]]&gt;0,RAND()/IF(T_Symbols[[#This Row],[Weighting]]="",1,T_Symbols[[#This Row],[Weighting]]),"")</f>
        <v>0.16354547499203631</v>
      </c>
      <c r="I18" s="12">
        <v>3</v>
      </c>
      <c r="J18" s="13" t="s">
        <v>373</v>
      </c>
      <c r="K18" s="12" t="s">
        <v>374</v>
      </c>
      <c r="L18" s="13" t="s">
        <v>637</v>
      </c>
      <c r="M18" s="12" t="str">
        <f ca="1">IF(T_MP3s[[#This Row],[ID]]=$G$3,RAND(),"")</f>
        <v/>
      </c>
    </row>
    <row r="19" spans="1:13" x14ac:dyDescent="0.25">
      <c r="A19" s="12">
        <v>18</v>
      </c>
      <c r="B19" s="12" t="s">
        <v>236</v>
      </c>
      <c r="C19" s="13" t="s">
        <v>22</v>
      </c>
      <c r="D19" s="12">
        <f>IF(Symbols!D30=1,IF(Symbols!E30="",1,Symbols!E30),0)</f>
        <v>1</v>
      </c>
      <c r="E19" s="12">
        <f ca="1">IF(T_Symbols[[#This Row],[Weighting]]&gt;0,RAND()/IF(T_Symbols[[#This Row],[Weighting]]="",1,T_Symbols[[#This Row],[Weighting]]),"")</f>
        <v>0.74917333511520745</v>
      </c>
      <c r="I19" s="12">
        <v>3</v>
      </c>
      <c r="J19" s="13" t="s">
        <v>392</v>
      </c>
      <c r="K19" s="12" t="s">
        <v>374</v>
      </c>
      <c r="L19" s="13" t="s">
        <v>878</v>
      </c>
      <c r="M19" s="12" t="str">
        <f ca="1">IF(T_MP3s[[#This Row],[ID]]=$G$3,RAND(),"")</f>
        <v/>
      </c>
    </row>
    <row r="20" spans="1:13" x14ac:dyDescent="0.25">
      <c r="A20" s="12">
        <v>19</v>
      </c>
      <c r="B20" s="12" t="s">
        <v>237</v>
      </c>
      <c r="C20" s="13" t="s">
        <v>23</v>
      </c>
      <c r="D20" s="12">
        <f>IF(Symbols!D31=1,IF(Symbols!E31="",1,Symbols!E31),0)</f>
        <v>1</v>
      </c>
      <c r="E20" s="12">
        <f ca="1">IF(T_Symbols[[#This Row],[Weighting]]&gt;0,RAND()/IF(T_Symbols[[#This Row],[Weighting]]="",1,T_Symbols[[#This Row],[Weighting]]),"")</f>
        <v>0.1844412850006466</v>
      </c>
      <c r="I20" s="12">
        <v>3</v>
      </c>
      <c r="J20" s="13" t="s">
        <v>376</v>
      </c>
      <c r="K20" s="12" t="s">
        <v>374</v>
      </c>
      <c r="L20" s="13" t="s">
        <v>548</v>
      </c>
      <c r="M20" s="12" t="str">
        <f ca="1">IF(T_MP3s[[#This Row],[ID]]=$G$3,RAND(),"")</f>
        <v/>
      </c>
    </row>
    <row r="21" spans="1:13" x14ac:dyDescent="0.25">
      <c r="A21" s="12">
        <v>20</v>
      </c>
      <c r="B21" s="12" t="s">
        <v>238</v>
      </c>
      <c r="C21" s="13" t="s">
        <v>24</v>
      </c>
      <c r="D21" s="12">
        <f>IF(Symbols!D32=1,IF(Symbols!E32="",1,Symbols!E32),0)</f>
        <v>1</v>
      </c>
      <c r="E21" s="12">
        <f ca="1">IF(T_Symbols[[#This Row],[Weighting]]&gt;0,RAND()/IF(T_Symbols[[#This Row],[Weighting]]="",1,T_Symbols[[#This Row],[Weighting]]),"")</f>
        <v>0.21308026935277036</v>
      </c>
      <c r="I21" s="12">
        <v>4</v>
      </c>
      <c r="J21" s="13" t="s">
        <v>378</v>
      </c>
      <c r="K21" s="12" t="s">
        <v>374</v>
      </c>
      <c r="L21" s="13" t="s">
        <v>489</v>
      </c>
      <c r="M21" s="12" t="str">
        <f ca="1">IF(T_MP3s[[#This Row],[ID]]=$G$3,RAND(),"")</f>
        <v/>
      </c>
    </row>
    <row r="22" spans="1:13" x14ac:dyDescent="0.25">
      <c r="A22" s="12">
        <v>21</v>
      </c>
      <c r="B22" s="12" t="s">
        <v>239</v>
      </c>
      <c r="C22" s="13" t="s">
        <v>25</v>
      </c>
      <c r="D22" s="12">
        <f>IF(Symbols!D33=1,IF(Symbols!E33="",1,Symbols!E33),0)</f>
        <v>1</v>
      </c>
      <c r="E22" s="12">
        <f ca="1">IF(T_Symbols[[#This Row],[Weighting]]&gt;0,RAND()/IF(T_Symbols[[#This Row],[Weighting]]="",1,T_Symbols[[#This Row],[Weighting]]),"")</f>
        <v>0.38907558562964462</v>
      </c>
      <c r="I22" s="12">
        <v>4</v>
      </c>
      <c r="J22" s="13" t="s">
        <v>373</v>
      </c>
      <c r="K22" s="12" t="s">
        <v>374</v>
      </c>
      <c r="L22" s="13" t="s">
        <v>386</v>
      </c>
      <c r="M22" s="12" t="str">
        <f ca="1">IF(T_MP3s[[#This Row],[ID]]=$G$3,RAND(),"")</f>
        <v/>
      </c>
    </row>
    <row r="23" spans="1:13" x14ac:dyDescent="0.25">
      <c r="A23" s="12">
        <v>22</v>
      </c>
      <c r="B23" s="12" t="s">
        <v>240</v>
      </c>
      <c r="C23" s="13" t="s">
        <v>26</v>
      </c>
      <c r="D23" s="12">
        <f>IF(Symbols!D34=1,IF(Symbols!E34="",1,Symbols!E34),0)</f>
        <v>1</v>
      </c>
      <c r="E23" s="12">
        <f ca="1">IF(T_Symbols[[#This Row],[Weighting]]&gt;0,RAND()/IF(T_Symbols[[#This Row],[Weighting]]="",1,T_Symbols[[#This Row],[Weighting]]),"")</f>
        <v>0.30224214495450852</v>
      </c>
      <c r="I23" s="12">
        <v>4</v>
      </c>
      <c r="J23" s="13" t="s">
        <v>392</v>
      </c>
      <c r="K23" s="12" t="s">
        <v>374</v>
      </c>
      <c r="L23" s="13" t="s">
        <v>855</v>
      </c>
      <c r="M23" s="12" t="str">
        <f ca="1">IF(T_MP3s[[#This Row],[ID]]=$G$3,RAND(),"")</f>
        <v/>
      </c>
    </row>
    <row r="24" spans="1:13" x14ac:dyDescent="0.25">
      <c r="A24" s="12">
        <v>23</v>
      </c>
      <c r="B24" s="12" t="s">
        <v>241</v>
      </c>
      <c r="C24" s="13" t="s">
        <v>27</v>
      </c>
      <c r="D24" s="12">
        <f>IF(Symbols!D35=1,IF(Symbols!E35="",1,Symbols!E35),0)</f>
        <v>1</v>
      </c>
      <c r="E24" s="12">
        <f ca="1">IF(T_Symbols[[#This Row],[Weighting]]&gt;0,RAND()/IF(T_Symbols[[#This Row],[Weighting]]="",1,T_Symbols[[#This Row],[Weighting]]),"")</f>
        <v>0.6031483611212628</v>
      </c>
      <c r="I24" s="12">
        <v>4</v>
      </c>
      <c r="J24" s="13" t="s">
        <v>376</v>
      </c>
      <c r="K24" s="12" t="s">
        <v>374</v>
      </c>
      <c r="L24" s="13" t="s">
        <v>435</v>
      </c>
      <c r="M24" s="12" t="str">
        <f ca="1">IF(T_MP3s[[#This Row],[ID]]=$G$3,RAND(),"")</f>
        <v/>
      </c>
    </row>
    <row r="25" spans="1:13" x14ac:dyDescent="0.25">
      <c r="A25" s="12">
        <v>24</v>
      </c>
      <c r="B25" s="12" t="s">
        <v>242</v>
      </c>
      <c r="C25" s="13" t="s">
        <v>28</v>
      </c>
      <c r="D25" s="12">
        <f>IF(Symbols!D36=1,IF(Symbols!E36="",1,Symbols!E36),0)</f>
        <v>1</v>
      </c>
      <c r="E25" s="12">
        <f ca="1">IF(T_Symbols[[#This Row],[Weighting]]&gt;0,RAND()/IF(T_Symbols[[#This Row],[Weighting]]="",1,T_Symbols[[#This Row],[Weighting]]),"")</f>
        <v>0.9512976962670312</v>
      </c>
      <c r="I25" s="12">
        <v>5</v>
      </c>
      <c r="J25" s="13" t="s">
        <v>378</v>
      </c>
      <c r="K25" s="12" t="s">
        <v>374</v>
      </c>
      <c r="L25" s="13" t="s">
        <v>973</v>
      </c>
      <c r="M25" s="12" t="str">
        <f ca="1">IF(T_MP3s[[#This Row],[ID]]=$G$3,RAND(),"")</f>
        <v/>
      </c>
    </row>
    <row r="26" spans="1:13" x14ac:dyDescent="0.25">
      <c r="A26" s="12">
        <v>25</v>
      </c>
      <c r="B26" s="12" t="s">
        <v>243</v>
      </c>
      <c r="C26" s="13" t="s">
        <v>29</v>
      </c>
      <c r="D26" s="12">
        <f>IF(Symbols!D37=1,IF(Symbols!E37="",1,Symbols!E37),0)</f>
        <v>1</v>
      </c>
      <c r="E26" s="12">
        <f ca="1">IF(T_Symbols[[#This Row],[Weighting]]&gt;0,RAND()/IF(T_Symbols[[#This Row],[Weighting]]="",1,T_Symbols[[#This Row],[Weighting]]),"")</f>
        <v>0.83632173904941998</v>
      </c>
      <c r="I26" s="12">
        <v>5</v>
      </c>
      <c r="J26" s="13" t="s">
        <v>373</v>
      </c>
      <c r="K26" s="12" t="s">
        <v>374</v>
      </c>
      <c r="L26" s="13" t="s">
        <v>908</v>
      </c>
      <c r="M26" s="12" t="str">
        <f ca="1">IF(T_MP3s[[#This Row],[ID]]=$G$3,RAND(),"")</f>
        <v/>
      </c>
    </row>
    <row r="27" spans="1:13" x14ac:dyDescent="0.25">
      <c r="A27" s="12">
        <v>26</v>
      </c>
      <c r="B27" s="12" t="s">
        <v>244</v>
      </c>
      <c r="C27" s="13" t="s">
        <v>30</v>
      </c>
      <c r="D27" s="12">
        <f>IF(Symbols!D38=1,IF(Symbols!E38="",1,Symbols!E38),0)</f>
        <v>1</v>
      </c>
      <c r="E27" s="12">
        <f ca="1">IF(T_Symbols[[#This Row],[Weighting]]&gt;0,RAND()/IF(T_Symbols[[#This Row],[Weighting]]="",1,T_Symbols[[#This Row],[Weighting]]),"")</f>
        <v>5.9243413080407592E-3</v>
      </c>
      <c r="I27" s="12">
        <v>5</v>
      </c>
      <c r="J27" s="13" t="s">
        <v>392</v>
      </c>
      <c r="K27" s="12" t="s">
        <v>374</v>
      </c>
      <c r="L27" s="13" t="s">
        <v>590</v>
      </c>
      <c r="M27" s="12" t="str">
        <f ca="1">IF(T_MP3s[[#This Row],[ID]]=$G$3,RAND(),"")</f>
        <v/>
      </c>
    </row>
    <row r="28" spans="1:13" x14ac:dyDescent="0.25">
      <c r="A28" s="12">
        <v>27</v>
      </c>
      <c r="B28" s="12" t="s">
        <v>245</v>
      </c>
      <c r="C28" s="13" t="s">
        <v>31</v>
      </c>
      <c r="D28" s="12">
        <f>IF(Symbols!D39=1,IF(Symbols!E39="",1,Symbols!E39),0)</f>
        <v>1</v>
      </c>
      <c r="E28" s="12">
        <f ca="1">IF(T_Symbols[[#This Row],[Weighting]]&gt;0,RAND()/IF(T_Symbols[[#This Row],[Weighting]]="",1,T_Symbols[[#This Row],[Weighting]]),"")</f>
        <v>0.29502324229311516</v>
      </c>
      <c r="I28" s="12">
        <v>5</v>
      </c>
      <c r="J28" s="13" t="s">
        <v>376</v>
      </c>
      <c r="K28" s="12" t="s">
        <v>374</v>
      </c>
      <c r="L28" s="13" t="s">
        <v>804</v>
      </c>
      <c r="M28" s="12" t="str">
        <f ca="1">IF(T_MP3s[[#This Row],[ID]]=$G$3,RAND(),"")</f>
        <v/>
      </c>
    </row>
    <row r="29" spans="1:13" x14ac:dyDescent="0.25">
      <c r="A29" s="12">
        <v>28</v>
      </c>
      <c r="B29" s="12" t="s">
        <v>246</v>
      </c>
      <c r="C29" s="13" t="s">
        <v>32</v>
      </c>
      <c r="D29" s="12">
        <f>IF(Symbols!D40=1,IF(Symbols!E40="",1,Symbols!E40),0)</f>
        <v>1</v>
      </c>
      <c r="E29" s="12">
        <f ca="1">IF(T_Symbols[[#This Row],[Weighting]]&gt;0,RAND()/IF(T_Symbols[[#This Row],[Weighting]]="",1,T_Symbols[[#This Row],[Weighting]]),"")</f>
        <v>0.46158196361148474</v>
      </c>
      <c r="I29" s="12">
        <v>6</v>
      </c>
      <c r="J29" s="13" t="s">
        <v>378</v>
      </c>
      <c r="K29" s="12" t="s">
        <v>374</v>
      </c>
      <c r="L29" s="13" t="s">
        <v>486</v>
      </c>
      <c r="M29" s="12" t="str">
        <f ca="1">IF(T_MP3s[[#This Row],[ID]]=$G$3,RAND(),"")</f>
        <v/>
      </c>
    </row>
    <row r="30" spans="1:13" x14ac:dyDescent="0.25">
      <c r="A30" s="12">
        <v>29</v>
      </c>
      <c r="B30" s="12" t="s">
        <v>247</v>
      </c>
      <c r="C30" s="13" t="s">
        <v>33</v>
      </c>
      <c r="D30" s="12">
        <f>IF(Symbols!D41=1,IF(Symbols!E41="",1,Symbols!E41),0)</f>
        <v>1</v>
      </c>
      <c r="E30" s="12">
        <f ca="1">IF(T_Symbols[[#This Row],[Weighting]]&gt;0,RAND()/IF(T_Symbols[[#This Row],[Weighting]]="",1,T_Symbols[[#This Row],[Weighting]]),"")</f>
        <v>0.96827557584209312</v>
      </c>
      <c r="I30" s="12">
        <v>6</v>
      </c>
      <c r="J30" s="13" t="s">
        <v>373</v>
      </c>
      <c r="K30" s="12" t="s">
        <v>374</v>
      </c>
      <c r="L30" s="13" t="s">
        <v>602</v>
      </c>
      <c r="M30" s="12" t="str">
        <f ca="1">IF(T_MP3s[[#This Row],[ID]]=$G$3,RAND(),"")</f>
        <v/>
      </c>
    </row>
    <row r="31" spans="1:13" x14ac:dyDescent="0.25">
      <c r="A31" s="12">
        <v>30</v>
      </c>
      <c r="B31" s="12" t="s">
        <v>248</v>
      </c>
      <c r="C31" s="13" t="s">
        <v>34</v>
      </c>
      <c r="D31" s="12">
        <f>IF(Symbols!D42=1,IF(Symbols!E42="",1,Symbols!E42),0)</f>
        <v>1</v>
      </c>
      <c r="E31" s="12">
        <f ca="1">IF(T_Symbols[[#This Row],[Weighting]]&gt;0,RAND()/IF(T_Symbols[[#This Row],[Weighting]]="",1,T_Symbols[[#This Row],[Weighting]]),"")</f>
        <v>0.31366909527225251</v>
      </c>
      <c r="I31" s="12">
        <v>6</v>
      </c>
      <c r="J31" s="13" t="s">
        <v>392</v>
      </c>
      <c r="K31" s="12" t="s">
        <v>374</v>
      </c>
      <c r="L31" s="13" t="s">
        <v>612</v>
      </c>
      <c r="M31" s="12" t="str">
        <f ca="1">IF(T_MP3s[[#This Row],[ID]]=$G$3,RAND(),"")</f>
        <v/>
      </c>
    </row>
    <row r="32" spans="1:13" x14ac:dyDescent="0.25">
      <c r="A32" s="12">
        <v>31</v>
      </c>
      <c r="B32" s="12" t="s">
        <v>249</v>
      </c>
      <c r="C32" s="13" t="s">
        <v>35</v>
      </c>
      <c r="D32" s="12">
        <f>IF(Symbols!D43=1,IF(Symbols!E43="",1,Symbols!E43),0)</f>
        <v>1</v>
      </c>
      <c r="E32" s="12">
        <f ca="1">IF(T_Symbols[[#This Row],[Weighting]]&gt;0,RAND()/IF(T_Symbols[[#This Row],[Weighting]]="",1,T_Symbols[[#This Row],[Weighting]]),"")</f>
        <v>0.17577248852421923</v>
      </c>
      <c r="I32" s="12">
        <v>6</v>
      </c>
      <c r="J32" s="13" t="s">
        <v>376</v>
      </c>
      <c r="K32" s="12" t="s">
        <v>374</v>
      </c>
      <c r="L32" s="13" t="s">
        <v>474</v>
      </c>
      <c r="M32" s="12" t="str">
        <f ca="1">IF(T_MP3s[[#This Row],[ID]]=$G$3,RAND(),"")</f>
        <v/>
      </c>
    </row>
    <row r="33" spans="1:13" x14ac:dyDescent="0.25">
      <c r="A33" s="12">
        <v>32</v>
      </c>
      <c r="B33" s="12" t="s">
        <v>250</v>
      </c>
      <c r="C33" s="13" t="s">
        <v>36</v>
      </c>
      <c r="D33" s="12">
        <f>IF(Symbols!D44=1,IF(Symbols!E44="",1,Symbols!E44),0)</f>
        <v>1</v>
      </c>
      <c r="E33" s="12">
        <f ca="1">IF(T_Symbols[[#This Row],[Weighting]]&gt;0,RAND()/IF(T_Symbols[[#This Row],[Weighting]]="",1,T_Symbols[[#This Row],[Weighting]]),"")</f>
        <v>0.87367788052883788</v>
      </c>
      <c r="I33" s="12">
        <v>7</v>
      </c>
      <c r="J33" s="13" t="s">
        <v>378</v>
      </c>
      <c r="K33" s="12" t="s">
        <v>374</v>
      </c>
      <c r="L33" s="13" t="s">
        <v>984</v>
      </c>
      <c r="M33" s="12" t="str">
        <f ca="1">IF(T_MP3s[[#This Row],[ID]]=$G$3,RAND(),"")</f>
        <v/>
      </c>
    </row>
    <row r="34" spans="1:13" x14ac:dyDescent="0.25">
      <c r="A34" s="12">
        <v>33</v>
      </c>
      <c r="B34" s="12" t="s">
        <v>251</v>
      </c>
      <c r="C34" s="13" t="s">
        <v>37</v>
      </c>
      <c r="D34" s="12">
        <f>IF(Symbols!D45=1,IF(Symbols!E45="",1,Symbols!E45),0)</f>
        <v>1</v>
      </c>
      <c r="E34" s="12">
        <f ca="1">IF(T_Symbols[[#This Row],[Weighting]]&gt;0,RAND()/IF(T_Symbols[[#This Row],[Weighting]]="",1,T_Symbols[[#This Row],[Weighting]]),"")</f>
        <v>0.1143795181297399</v>
      </c>
      <c r="I34" s="12">
        <v>7</v>
      </c>
      <c r="J34" s="13" t="s">
        <v>373</v>
      </c>
      <c r="K34" s="12" t="s">
        <v>374</v>
      </c>
      <c r="L34" s="13" t="s">
        <v>757</v>
      </c>
      <c r="M34" s="12" t="str">
        <f ca="1">IF(T_MP3s[[#This Row],[ID]]=$G$3,RAND(),"")</f>
        <v/>
      </c>
    </row>
    <row r="35" spans="1:13" x14ac:dyDescent="0.25">
      <c r="A35" s="12">
        <v>34</v>
      </c>
      <c r="B35" s="12" t="s">
        <v>252</v>
      </c>
      <c r="C35" s="13" t="s">
        <v>38</v>
      </c>
      <c r="D35" s="12">
        <f>IF(Symbols!D46=1,IF(Symbols!E46="",1,Symbols!E46),0)</f>
        <v>1</v>
      </c>
      <c r="E35" s="12">
        <f ca="1">IF(T_Symbols[[#This Row],[Weighting]]&gt;0,RAND()/IF(T_Symbols[[#This Row],[Weighting]]="",1,T_Symbols[[#This Row],[Weighting]]),"")</f>
        <v>0.97291134979605687</v>
      </c>
      <c r="I35" s="12">
        <v>7</v>
      </c>
      <c r="J35" s="13" t="s">
        <v>392</v>
      </c>
      <c r="K35" s="12" t="s">
        <v>374</v>
      </c>
      <c r="L35" s="13" t="s">
        <v>772</v>
      </c>
      <c r="M35" s="12" t="str">
        <f ca="1">IF(T_MP3s[[#This Row],[ID]]=$G$3,RAND(),"")</f>
        <v/>
      </c>
    </row>
    <row r="36" spans="1:13" x14ac:dyDescent="0.25">
      <c r="A36" s="12">
        <v>35</v>
      </c>
      <c r="B36" s="12" t="s">
        <v>253</v>
      </c>
      <c r="C36" s="13" t="s">
        <v>39</v>
      </c>
      <c r="D36" s="12">
        <f>IF(Symbols!D47=1,IF(Symbols!E47="",1,Symbols!E47),0)</f>
        <v>1</v>
      </c>
      <c r="E36" s="12">
        <f ca="1">IF(T_Symbols[[#This Row],[Weighting]]&gt;0,RAND()/IF(T_Symbols[[#This Row],[Weighting]]="",1,T_Symbols[[#This Row],[Weighting]]),"")</f>
        <v>0.92621179709839663</v>
      </c>
      <c r="I36" s="12">
        <v>7</v>
      </c>
      <c r="J36" s="13" t="s">
        <v>376</v>
      </c>
      <c r="K36" s="12" t="s">
        <v>374</v>
      </c>
      <c r="L36" s="13" t="s">
        <v>658</v>
      </c>
      <c r="M36" s="12" t="str">
        <f ca="1">IF(T_MP3s[[#This Row],[ID]]=$G$3,RAND(),"")</f>
        <v/>
      </c>
    </row>
    <row r="37" spans="1:13" x14ac:dyDescent="0.25">
      <c r="A37" s="12">
        <v>36</v>
      </c>
      <c r="B37" s="12" t="s">
        <v>254</v>
      </c>
      <c r="C37" s="13" t="s">
        <v>40</v>
      </c>
      <c r="D37" s="12">
        <f>IF(Symbols!D48=1,IF(Symbols!E48="",1,Symbols!E48),0)</f>
        <v>1</v>
      </c>
      <c r="E37" s="12">
        <f ca="1">IF(T_Symbols[[#This Row],[Weighting]]&gt;0,RAND()/IF(T_Symbols[[#This Row],[Weighting]]="",1,T_Symbols[[#This Row],[Weighting]]),"")</f>
        <v>0.63349620648333416</v>
      </c>
      <c r="I37" s="12">
        <v>8</v>
      </c>
      <c r="J37" s="13" t="s">
        <v>378</v>
      </c>
      <c r="K37" s="12" t="s">
        <v>374</v>
      </c>
      <c r="L37" s="13" t="s">
        <v>397</v>
      </c>
      <c r="M37" s="12" t="str">
        <f ca="1">IF(T_MP3s[[#This Row],[ID]]=$G$3,RAND(),"")</f>
        <v/>
      </c>
    </row>
    <row r="38" spans="1:13" x14ac:dyDescent="0.25">
      <c r="A38" s="12">
        <v>37</v>
      </c>
      <c r="B38" s="12" t="s">
        <v>255</v>
      </c>
      <c r="C38" s="13" t="s">
        <v>41</v>
      </c>
      <c r="D38" s="12">
        <f>IF(Symbols!D49=1,IF(Symbols!E49="",1,Symbols!E49),0)</f>
        <v>1</v>
      </c>
      <c r="E38" s="12">
        <f ca="1">IF(T_Symbols[[#This Row],[Weighting]]&gt;0,RAND()/IF(T_Symbols[[#This Row],[Weighting]]="",1,T_Symbols[[#This Row],[Weighting]]),"")</f>
        <v>0.23625165700904682</v>
      </c>
      <c r="I38" s="12">
        <v>8</v>
      </c>
      <c r="J38" s="13" t="s">
        <v>373</v>
      </c>
      <c r="K38" s="12" t="s">
        <v>374</v>
      </c>
      <c r="L38" s="13" t="s">
        <v>550</v>
      </c>
      <c r="M38" s="12" t="str">
        <f ca="1">IF(T_MP3s[[#This Row],[ID]]=$G$3,RAND(),"")</f>
        <v/>
      </c>
    </row>
    <row r="39" spans="1:13" x14ac:dyDescent="0.25">
      <c r="A39" s="12">
        <v>38</v>
      </c>
      <c r="B39" s="12" t="s">
        <v>256</v>
      </c>
      <c r="C39" s="13" t="s">
        <v>42</v>
      </c>
      <c r="D39" s="12">
        <f>IF(Symbols!D50=1,IF(Symbols!E50="",1,Symbols!E50),0)</f>
        <v>1</v>
      </c>
      <c r="E39" s="12">
        <f ca="1">IF(T_Symbols[[#This Row],[Weighting]]&gt;0,RAND()/IF(T_Symbols[[#This Row],[Weighting]]="",1,T_Symbols[[#This Row],[Weighting]]),"")</f>
        <v>0.30351445541630584</v>
      </c>
      <c r="I39" s="12">
        <v>8</v>
      </c>
      <c r="J39" s="13" t="s">
        <v>392</v>
      </c>
      <c r="K39" s="12" t="s">
        <v>374</v>
      </c>
      <c r="L39" s="13" t="s">
        <v>494</v>
      </c>
      <c r="M39" s="12" t="str">
        <f ca="1">IF(T_MP3s[[#This Row],[ID]]=$G$3,RAND(),"")</f>
        <v/>
      </c>
    </row>
    <row r="40" spans="1:13" x14ac:dyDescent="0.25">
      <c r="A40" s="12">
        <v>39</v>
      </c>
      <c r="B40" s="12" t="s">
        <v>257</v>
      </c>
      <c r="C40" s="13" t="s">
        <v>43</v>
      </c>
      <c r="D40" s="12">
        <f>IF(Symbols!D51=1,IF(Symbols!E51="",1,Symbols!E51),0)</f>
        <v>1</v>
      </c>
      <c r="E40" s="12">
        <f ca="1">IF(T_Symbols[[#This Row],[Weighting]]&gt;0,RAND()/IF(T_Symbols[[#This Row],[Weighting]]="",1,T_Symbols[[#This Row],[Weighting]]),"")</f>
        <v>1.8343033158042865E-2</v>
      </c>
      <c r="I40" s="12">
        <v>8</v>
      </c>
      <c r="J40" s="13" t="s">
        <v>376</v>
      </c>
      <c r="K40" s="12" t="s">
        <v>374</v>
      </c>
      <c r="L40" s="13" t="s">
        <v>755</v>
      </c>
      <c r="M40" s="12" t="str">
        <f ca="1">IF(T_MP3s[[#This Row],[ID]]=$G$3,RAND(),"")</f>
        <v/>
      </c>
    </row>
    <row r="41" spans="1:13" x14ac:dyDescent="0.25">
      <c r="A41" s="12">
        <v>40</v>
      </c>
      <c r="B41" s="12" t="s">
        <v>258</v>
      </c>
      <c r="C41" s="13" t="s">
        <v>44</v>
      </c>
      <c r="D41" s="12">
        <f>IF(Symbols!D52=1,IF(Symbols!E52="",1,Symbols!E52),0)</f>
        <v>1</v>
      </c>
      <c r="E41" s="12">
        <f ca="1">IF(T_Symbols[[#This Row],[Weighting]]&gt;0,RAND()/IF(T_Symbols[[#This Row],[Weighting]]="",1,T_Symbols[[#This Row],[Weighting]]),"")</f>
        <v>0.95895683103270324</v>
      </c>
      <c r="I41" s="12">
        <v>9</v>
      </c>
      <c r="J41" s="13" t="s">
        <v>378</v>
      </c>
      <c r="K41" s="12" t="s">
        <v>374</v>
      </c>
      <c r="L41" s="13" t="s">
        <v>450</v>
      </c>
      <c r="M41" s="12" t="str">
        <f ca="1">IF(T_MP3s[[#This Row],[ID]]=$G$3,RAND(),"")</f>
        <v/>
      </c>
    </row>
    <row r="42" spans="1:13" x14ac:dyDescent="0.25">
      <c r="A42" s="12">
        <v>41</v>
      </c>
      <c r="B42" s="12" t="s">
        <v>259</v>
      </c>
      <c r="C42" s="13" t="s">
        <v>45</v>
      </c>
      <c r="D42" s="12">
        <f>IF(Symbols!D53=1,IF(Symbols!E53="",1,Symbols!E53),0)</f>
        <v>1</v>
      </c>
      <c r="E42" s="12">
        <f ca="1">IF(T_Symbols[[#This Row],[Weighting]]&gt;0,RAND()/IF(T_Symbols[[#This Row],[Weighting]]="",1,T_Symbols[[#This Row],[Weighting]]),"")</f>
        <v>0.63427167155738395</v>
      </c>
      <c r="I42" s="12">
        <v>9</v>
      </c>
      <c r="J42" s="13" t="s">
        <v>373</v>
      </c>
      <c r="K42" s="12" t="s">
        <v>374</v>
      </c>
      <c r="L42" s="13" t="s">
        <v>742</v>
      </c>
      <c r="M42" s="12" t="str">
        <f ca="1">IF(T_MP3s[[#This Row],[ID]]=$G$3,RAND(),"")</f>
        <v/>
      </c>
    </row>
    <row r="43" spans="1:13" x14ac:dyDescent="0.25">
      <c r="A43" s="12">
        <v>42</v>
      </c>
      <c r="B43" s="12" t="s">
        <v>260</v>
      </c>
      <c r="C43" s="13" t="s">
        <v>46</v>
      </c>
      <c r="D43" s="12">
        <f>IF(Symbols!D54=1,IF(Symbols!E54="",1,Symbols!E54),0)</f>
        <v>1</v>
      </c>
      <c r="E43" s="12">
        <f ca="1">IF(T_Symbols[[#This Row],[Weighting]]&gt;0,RAND()/IF(T_Symbols[[#This Row],[Weighting]]="",1,T_Symbols[[#This Row],[Weighting]]),"")</f>
        <v>0.68457370701494036</v>
      </c>
      <c r="I43" s="12">
        <v>9</v>
      </c>
      <c r="J43" s="13" t="s">
        <v>392</v>
      </c>
      <c r="K43" s="12" t="s">
        <v>374</v>
      </c>
      <c r="L43" s="13" t="s">
        <v>556</v>
      </c>
      <c r="M43" s="12" t="str">
        <f ca="1">IF(T_MP3s[[#This Row],[ID]]=$G$3,RAND(),"")</f>
        <v/>
      </c>
    </row>
    <row r="44" spans="1:13" x14ac:dyDescent="0.25">
      <c r="A44" s="12">
        <v>43</v>
      </c>
      <c r="B44" s="12" t="s">
        <v>261</v>
      </c>
      <c r="C44" s="13" t="s">
        <v>47</v>
      </c>
      <c r="D44" s="12">
        <f>IF(Symbols!D55=1,IF(Symbols!E55="",1,Symbols!E55),0)</f>
        <v>1</v>
      </c>
      <c r="E44" s="12">
        <f ca="1">IF(T_Symbols[[#This Row],[Weighting]]&gt;0,RAND()/IF(T_Symbols[[#This Row],[Weighting]]="",1,T_Symbols[[#This Row],[Weighting]]),"")</f>
        <v>0.39612300588698257</v>
      </c>
      <c r="I44" s="12">
        <v>9</v>
      </c>
      <c r="J44" s="13" t="s">
        <v>376</v>
      </c>
      <c r="K44" s="12" t="s">
        <v>374</v>
      </c>
      <c r="L44" s="13" t="s">
        <v>610</v>
      </c>
      <c r="M44" s="12" t="str">
        <f ca="1">IF(T_MP3s[[#This Row],[ID]]=$G$3,RAND(),"")</f>
        <v/>
      </c>
    </row>
    <row r="45" spans="1:13" x14ac:dyDescent="0.25">
      <c r="A45" s="12">
        <v>44</v>
      </c>
      <c r="B45" s="12" t="s">
        <v>262</v>
      </c>
      <c r="C45" s="13" t="s">
        <v>48</v>
      </c>
      <c r="D45" s="12">
        <f>IF(Symbols!D56=1,IF(Symbols!E56="",1,Symbols!E56),0)</f>
        <v>1</v>
      </c>
      <c r="E45" s="12">
        <f ca="1">IF(T_Symbols[[#This Row],[Weighting]]&gt;0,RAND()/IF(T_Symbols[[#This Row],[Weighting]]="",1,T_Symbols[[#This Row],[Weighting]]),"")</f>
        <v>0.64319292451770793</v>
      </c>
      <c r="I45" s="12">
        <v>10</v>
      </c>
      <c r="J45" s="13" t="s">
        <v>378</v>
      </c>
      <c r="K45" s="12" t="s">
        <v>374</v>
      </c>
      <c r="L45" s="13" t="s">
        <v>565</v>
      </c>
      <c r="M45" s="12" t="str">
        <f ca="1">IF(T_MP3s[[#This Row],[ID]]=$G$3,RAND(),"")</f>
        <v/>
      </c>
    </row>
    <row r="46" spans="1:13" x14ac:dyDescent="0.25">
      <c r="A46" s="12">
        <v>45</v>
      </c>
      <c r="B46" s="12" t="s">
        <v>263</v>
      </c>
      <c r="C46" s="13" t="s">
        <v>49</v>
      </c>
      <c r="D46" s="12">
        <f>IF(Symbols!D57=1,IF(Symbols!E57="",1,Symbols!E57),0)</f>
        <v>1</v>
      </c>
      <c r="E46" s="12">
        <f ca="1">IF(T_Symbols[[#This Row],[Weighting]]&gt;0,RAND()/IF(T_Symbols[[#This Row],[Weighting]]="",1,T_Symbols[[#This Row],[Weighting]]),"")</f>
        <v>0.94420917384173486</v>
      </c>
      <c r="I46" s="12">
        <v>10</v>
      </c>
      <c r="J46" s="13" t="s">
        <v>373</v>
      </c>
      <c r="K46" s="12" t="s">
        <v>374</v>
      </c>
      <c r="L46" s="13" t="s">
        <v>646</v>
      </c>
      <c r="M46" s="12" t="str">
        <f ca="1">IF(T_MP3s[[#This Row],[ID]]=$G$3,RAND(),"")</f>
        <v/>
      </c>
    </row>
    <row r="47" spans="1:13" x14ac:dyDescent="0.25">
      <c r="A47" s="12">
        <v>46</v>
      </c>
      <c r="B47" s="12" t="s">
        <v>264</v>
      </c>
      <c r="C47" s="13" t="s">
        <v>50</v>
      </c>
      <c r="D47" s="12">
        <f>IF(Symbols!D58=1,IF(Symbols!E58="",1,Symbols!E58),0)</f>
        <v>1</v>
      </c>
      <c r="E47" s="12">
        <f ca="1">IF(T_Symbols[[#This Row],[Weighting]]&gt;0,RAND()/IF(T_Symbols[[#This Row],[Weighting]]="",1,T_Symbols[[#This Row],[Weighting]]),"")</f>
        <v>0.87595119302149482</v>
      </c>
      <c r="I47" s="12">
        <v>10</v>
      </c>
      <c r="J47" s="13" t="s">
        <v>392</v>
      </c>
      <c r="K47" s="12" t="s">
        <v>374</v>
      </c>
      <c r="L47" s="13" t="s">
        <v>599</v>
      </c>
      <c r="M47" s="12" t="str">
        <f ca="1">IF(T_MP3s[[#This Row],[ID]]=$G$3,RAND(),"")</f>
        <v/>
      </c>
    </row>
    <row r="48" spans="1:13" x14ac:dyDescent="0.25">
      <c r="A48" s="12">
        <v>47</v>
      </c>
      <c r="B48" s="12" t="s">
        <v>195</v>
      </c>
      <c r="C48" s="13" t="s">
        <v>51</v>
      </c>
      <c r="D48" s="12">
        <f>IF(Symbols!D59=1,IF(Symbols!E59="",1,Symbols!E59),0)</f>
        <v>1</v>
      </c>
      <c r="E48" s="12">
        <f ca="1">IF(T_Symbols[[#This Row],[Weighting]]&gt;0,RAND()/IF(T_Symbols[[#This Row],[Weighting]]="",1,T_Symbols[[#This Row],[Weighting]]),"")</f>
        <v>0.64001103647119195</v>
      </c>
      <c r="I48" s="12">
        <v>10</v>
      </c>
      <c r="J48" s="13" t="s">
        <v>376</v>
      </c>
      <c r="K48" s="12" t="s">
        <v>374</v>
      </c>
      <c r="L48" s="13" t="s">
        <v>628</v>
      </c>
      <c r="M48" s="12" t="str">
        <f ca="1">IF(T_MP3s[[#This Row],[ID]]=$G$3,RAND(),"")</f>
        <v/>
      </c>
    </row>
    <row r="49" spans="1:13" x14ac:dyDescent="0.25">
      <c r="A49" s="12">
        <v>48</v>
      </c>
      <c r="B49" s="12" t="s">
        <v>265</v>
      </c>
      <c r="C49" s="13" t="s">
        <v>52</v>
      </c>
      <c r="D49" s="12">
        <f>IF(Symbols!D60=1,IF(Symbols!E60="",1,Symbols!E60),0)</f>
        <v>1</v>
      </c>
      <c r="E49" s="12">
        <f ca="1">IF(T_Symbols[[#This Row],[Weighting]]&gt;0,RAND()/IF(T_Symbols[[#This Row],[Weighting]]="",1,T_Symbols[[#This Row],[Weighting]]),"")</f>
        <v>0.64145568665247565</v>
      </c>
      <c r="I49" s="12">
        <v>11</v>
      </c>
      <c r="J49" s="13" t="s">
        <v>378</v>
      </c>
      <c r="K49" s="12" t="s">
        <v>374</v>
      </c>
      <c r="L49" s="13" t="s">
        <v>873</v>
      </c>
      <c r="M49" s="12" t="str">
        <f ca="1">IF(T_MP3s[[#This Row],[ID]]=$G$3,RAND(),"")</f>
        <v/>
      </c>
    </row>
    <row r="50" spans="1:13" x14ac:dyDescent="0.25">
      <c r="A50" s="12">
        <v>49</v>
      </c>
      <c r="B50" s="12" t="s">
        <v>266</v>
      </c>
      <c r="C50" s="13" t="s">
        <v>53</v>
      </c>
      <c r="D50" s="12">
        <f>IF(Symbols!D61=1,IF(Symbols!E61="",1,Symbols!E61),0)</f>
        <v>1</v>
      </c>
      <c r="E50" s="12">
        <f ca="1">IF(T_Symbols[[#This Row],[Weighting]]&gt;0,RAND()/IF(T_Symbols[[#This Row],[Weighting]]="",1,T_Symbols[[#This Row],[Weighting]]),"")</f>
        <v>0.52520818987162299</v>
      </c>
      <c r="I50" s="12">
        <v>11</v>
      </c>
      <c r="J50" s="13" t="s">
        <v>373</v>
      </c>
      <c r="K50" s="12" t="s">
        <v>374</v>
      </c>
      <c r="L50" s="13" t="s">
        <v>481</v>
      </c>
      <c r="M50" s="12" t="str">
        <f ca="1">IF(T_MP3s[[#This Row],[ID]]=$G$3,RAND(),"")</f>
        <v/>
      </c>
    </row>
    <row r="51" spans="1:13" x14ac:dyDescent="0.25">
      <c r="A51" s="12">
        <v>50</v>
      </c>
      <c r="B51" s="12" t="s">
        <v>267</v>
      </c>
      <c r="C51" s="13" t="s">
        <v>54</v>
      </c>
      <c r="D51" s="12">
        <f>IF(Symbols!D62=1,IF(Symbols!E62="",1,Symbols!E62),0)</f>
        <v>1</v>
      </c>
      <c r="E51" s="12">
        <f ca="1">IF(T_Symbols[[#This Row],[Weighting]]&gt;0,RAND()/IF(T_Symbols[[#This Row],[Weighting]]="",1,T_Symbols[[#This Row],[Weighting]]),"")</f>
        <v>2.1840295711264557E-2</v>
      </c>
      <c r="I51" s="12">
        <v>11</v>
      </c>
      <c r="J51" s="13" t="s">
        <v>392</v>
      </c>
      <c r="K51" s="12" t="s">
        <v>374</v>
      </c>
      <c r="L51" s="13" t="s">
        <v>944</v>
      </c>
      <c r="M51" s="12" t="str">
        <f ca="1">IF(T_MP3s[[#This Row],[ID]]=$G$3,RAND(),"")</f>
        <v/>
      </c>
    </row>
    <row r="52" spans="1:13" x14ac:dyDescent="0.25">
      <c r="A52" s="12">
        <v>51</v>
      </c>
      <c r="B52" s="12" t="s">
        <v>268</v>
      </c>
      <c r="C52" s="13" t="s">
        <v>55</v>
      </c>
      <c r="D52" s="12">
        <f>IF(Symbols!D63=1,IF(Symbols!E63="",1,Symbols!E63),0)</f>
        <v>1</v>
      </c>
      <c r="E52" s="12">
        <f ca="1">IF(T_Symbols[[#This Row],[Weighting]]&gt;0,RAND()/IF(T_Symbols[[#This Row],[Weighting]]="",1,T_Symbols[[#This Row],[Weighting]]),"")</f>
        <v>0.47390515577833825</v>
      </c>
      <c r="I52" s="12">
        <v>11</v>
      </c>
      <c r="J52" s="13" t="s">
        <v>376</v>
      </c>
      <c r="K52" s="12" t="s">
        <v>374</v>
      </c>
      <c r="L52" s="13" t="s">
        <v>699</v>
      </c>
      <c r="M52" s="12" t="str">
        <f ca="1">IF(T_MP3s[[#This Row],[ID]]=$G$3,RAND(),"")</f>
        <v/>
      </c>
    </row>
    <row r="53" spans="1:13" x14ac:dyDescent="0.25">
      <c r="A53" s="12">
        <v>52</v>
      </c>
      <c r="B53" s="12" t="s">
        <v>269</v>
      </c>
      <c r="C53" s="13" t="s">
        <v>56</v>
      </c>
      <c r="D53" s="12">
        <f>IF(Symbols!D64=1,IF(Symbols!E64="",1,Symbols!E64),0)</f>
        <v>1</v>
      </c>
      <c r="E53" s="12">
        <f ca="1">IF(T_Symbols[[#This Row],[Weighting]]&gt;0,RAND()/IF(T_Symbols[[#This Row],[Weighting]]="",1,T_Symbols[[#This Row],[Weighting]]),"")</f>
        <v>3.0904650198967265E-2</v>
      </c>
      <c r="I53" s="12">
        <v>12</v>
      </c>
      <c r="J53" s="13" t="s">
        <v>378</v>
      </c>
      <c r="K53" s="12" t="s">
        <v>374</v>
      </c>
      <c r="L53" s="13" t="s">
        <v>632</v>
      </c>
      <c r="M53" s="12" t="str">
        <f ca="1">IF(T_MP3s[[#This Row],[ID]]=$G$3,RAND(),"")</f>
        <v/>
      </c>
    </row>
    <row r="54" spans="1:13" x14ac:dyDescent="0.25">
      <c r="A54" s="12">
        <v>53</v>
      </c>
      <c r="B54" s="12" t="s">
        <v>270</v>
      </c>
      <c r="C54" s="13" t="s">
        <v>57</v>
      </c>
      <c r="D54" s="12">
        <f>IF(Symbols!D65=1,IF(Symbols!E65="",1,Symbols!E65),0)</f>
        <v>1</v>
      </c>
      <c r="E54" s="12">
        <f ca="1">IF(T_Symbols[[#This Row],[Weighting]]&gt;0,RAND()/IF(T_Symbols[[#This Row],[Weighting]]="",1,T_Symbols[[#This Row],[Weighting]]),"")</f>
        <v>0.66343014623566132</v>
      </c>
      <c r="I54" s="12">
        <v>12</v>
      </c>
      <c r="J54" s="13" t="s">
        <v>373</v>
      </c>
      <c r="K54" s="12" t="s">
        <v>374</v>
      </c>
      <c r="L54" s="13" t="s">
        <v>613</v>
      </c>
      <c r="M54" s="12" t="str">
        <f ca="1">IF(T_MP3s[[#This Row],[ID]]=$G$3,RAND(),"")</f>
        <v/>
      </c>
    </row>
    <row r="55" spans="1:13" x14ac:dyDescent="0.25">
      <c r="A55" s="12">
        <v>54</v>
      </c>
      <c r="B55" s="12" t="s">
        <v>271</v>
      </c>
      <c r="C55" s="13" t="s">
        <v>58</v>
      </c>
      <c r="D55" s="12">
        <f>IF(Symbols!D66=1,IF(Symbols!E66="",1,Symbols!E66),0)</f>
        <v>1</v>
      </c>
      <c r="E55" s="12">
        <f ca="1">IF(T_Symbols[[#This Row],[Weighting]]&gt;0,RAND()/IF(T_Symbols[[#This Row],[Weighting]]="",1,T_Symbols[[#This Row],[Weighting]]),"")</f>
        <v>0.59972954437259451</v>
      </c>
      <c r="I55" s="12">
        <v>12</v>
      </c>
      <c r="J55" s="13" t="s">
        <v>392</v>
      </c>
      <c r="K55" s="12" t="s">
        <v>374</v>
      </c>
      <c r="L55" s="13" t="s">
        <v>762</v>
      </c>
      <c r="M55" s="12" t="str">
        <f ca="1">IF(T_MP3s[[#This Row],[ID]]=$G$3,RAND(),"")</f>
        <v/>
      </c>
    </row>
    <row r="56" spans="1:13" x14ac:dyDescent="0.25">
      <c r="A56" s="12">
        <v>55</v>
      </c>
      <c r="B56" s="12" t="s">
        <v>272</v>
      </c>
      <c r="C56" s="13" t="s">
        <v>59</v>
      </c>
      <c r="D56" s="12">
        <f>IF(Symbols!D67=1,IF(Symbols!E67="",1,Symbols!E67),0)</f>
        <v>1</v>
      </c>
      <c r="E56" s="12">
        <f ca="1">IF(T_Symbols[[#This Row],[Weighting]]&gt;0,RAND()/IF(T_Symbols[[#This Row],[Weighting]]="",1,T_Symbols[[#This Row],[Weighting]]),"")</f>
        <v>0.55816764028393506</v>
      </c>
      <c r="I56" s="12">
        <v>12</v>
      </c>
      <c r="J56" s="13" t="s">
        <v>376</v>
      </c>
      <c r="K56" s="12" t="s">
        <v>374</v>
      </c>
      <c r="L56" s="13" t="s">
        <v>830</v>
      </c>
      <c r="M56" s="12" t="str">
        <f ca="1">IF(T_MP3s[[#This Row],[ID]]=$G$3,RAND(),"")</f>
        <v/>
      </c>
    </row>
    <row r="57" spans="1:13" x14ac:dyDescent="0.25">
      <c r="A57" s="12">
        <v>56</v>
      </c>
      <c r="B57" s="12" t="s">
        <v>191</v>
      </c>
      <c r="C57" s="13" t="s">
        <v>60</v>
      </c>
      <c r="D57" s="12">
        <f>IF(Symbols!D68=1,IF(Symbols!E68="",1,Symbols!E68),0)</f>
        <v>1</v>
      </c>
      <c r="E57" s="12">
        <f ca="1">IF(T_Symbols[[#This Row],[Weighting]]&gt;0,RAND()/IF(T_Symbols[[#This Row],[Weighting]]="",1,T_Symbols[[#This Row],[Weighting]]),"")</f>
        <v>0.79406809777195553</v>
      </c>
      <c r="I57" s="12">
        <v>13</v>
      </c>
      <c r="J57" s="13" t="s">
        <v>378</v>
      </c>
      <c r="K57" s="12" t="s">
        <v>374</v>
      </c>
      <c r="L57" s="13" t="s">
        <v>926</v>
      </c>
      <c r="M57" s="12" t="str">
        <f ca="1">IF(T_MP3s[[#This Row],[ID]]=$G$3,RAND(),"")</f>
        <v/>
      </c>
    </row>
    <row r="58" spans="1:13" x14ac:dyDescent="0.25">
      <c r="A58" s="12">
        <v>57</v>
      </c>
      <c r="B58" s="12" t="s">
        <v>273</v>
      </c>
      <c r="C58" s="13" t="s">
        <v>61</v>
      </c>
      <c r="D58" s="12">
        <f>IF(Symbols!D69=1,IF(Symbols!E69="",1,Symbols!E69),0)</f>
        <v>1</v>
      </c>
      <c r="E58" s="12">
        <f ca="1">IF(T_Symbols[[#This Row],[Weighting]]&gt;0,RAND()/IF(T_Symbols[[#This Row],[Weighting]]="",1,T_Symbols[[#This Row],[Weighting]]),"")</f>
        <v>0.89576273464026546</v>
      </c>
      <c r="I58" s="12">
        <v>13</v>
      </c>
      <c r="J58" s="13" t="s">
        <v>373</v>
      </c>
      <c r="K58" s="12" t="s">
        <v>374</v>
      </c>
      <c r="L58" s="13" t="s">
        <v>488</v>
      </c>
      <c r="M58" s="12" t="str">
        <f ca="1">IF(T_MP3s[[#This Row],[ID]]=$G$3,RAND(),"")</f>
        <v/>
      </c>
    </row>
    <row r="59" spans="1:13" x14ac:dyDescent="0.25">
      <c r="A59" s="12">
        <v>58</v>
      </c>
      <c r="B59" s="12" t="s">
        <v>274</v>
      </c>
      <c r="C59" s="13" t="s">
        <v>62</v>
      </c>
      <c r="D59" s="12">
        <f>IF(Symbols!D70=1,IF(Symbols!E70="",1,Symbols!E70),0)</f>
        <v>1</v>
      </c>
      <c r="E59" s="12">
        <f ca="1">IF(T_Symbols[[#This Row],[Weighting]]&gt;0,RAND()/IF(T_Symbols[[#This Row],[Weighting]]="",1,T_Symbols[[#This Row],[Weighting]]),"")</f>
        <v>0.36800106278951894</v>
      </c>
      <c r="I59" s="12">
        <v>13</v>
      </c>
      <c r="J59" s="13" t="s">
        <v>392</v>
      </c>
      <c r="K59" s="12" t="s">
        <v>374</v>
      </c>
      <c r="L59" s="13" t="s">
        <v>797</v>
      </c>
      <c r="M59" s="12" t="str">
        <f ca="1">IF(T_MP3s[[#This Row],[ID]]=$G$3,RAND(),"")</f>
        <v/>
      </c>
    </row>
    <row r="60" spans="1:13" x14ac:dyDescent="0.25">
      <c r="A60" s="12">
        <v>59</v>
      </c>
      <c r="B60" s="12" t="s">
        <v>275</v>
      </c>
      <c r="C60" s="13" t="s">
        <v>63</v>
      </c>
      <c r="D60" s="12">
        <f>IF(Symbols!D71=1,IF(Symbols!E71="",1,Symbols!E71),0)</f>
        <v>1</v>
      </c>
      <c r="E60" s="12">
        <f ca="1">IF(T_Symbols[[#This Row],[Weighting]]&gt;0,RAND()/IF(T_Symbols[[#This Row],[Weighting]]="",1,T_Symbols[[#This Row],[Weighting]]),"")</f>
        <v>0.74607485287807129</v>
      </c>
      <c r="I60" s="12">
        <v>13</v>
      </c>
      <c r="J60" s="13" t="s">
        <v>376</v>
      </c>
      <c r="K60" s="12" t="s">
        <v>374</v>
      </c>
      <c r="L60" s="13" t="s">
        <v>765</v>
      </c>
      <c r="M60" s="12" t="str">
        <f ca="1">IF(T_MP3s[[#This Row],[ID]]=$G$3,RAND(),"")</f>
        <v/>
      </c>
    </row>
    <row r="61" spans="1:13" x14ac:dyDescent="0.25">
      <c r="A61" s="12">
        <v>60</v>
      </c>
      <c r="B61" s="12" t="s">
        <v>276</v>
      </c>
      <c r="C61" s="13" t="s">
        <v>64</v>
      </c>
      <c r="D61" s="14">
        <f>IF(Symbols!I13=1,IF(Symbols!J13="",1,Symbols!J13),0)</f>
        <v>1</v>
      </c>
      <c r="E61" s="12">
        <f ca="1">IF(T_Symbols[[#This Row],[Weighting]]&gt;0,RAND()/IF(T_Symbols[[#This Row],[Weighting]]="",1,T_Symbols[[#This Row],[Weighting]]),"")</f>
        <v>0.66496830309644095</v>
      </c>
      <c r="I61" s="12">
        <v>14</v>
      </c>
      <c r="J61" s="13" t="s">
        <v>378</v>
      </c>
      <c r="K61" s="12" t="s">
        <v>374</v>
      </c>
      <c r="L61" s="13" t="s">
        <v>601</v>
      </c>
      <c r="M61" s="12" t="str">
        <f ca="1">IF(T_MP3s[[#This Row],[ID]]=$G$3,RAND(),"")</f>
        <v/>
      </c>
    </row>
    <row r="62" spans="1:13" x14ac:dyDescent="0.25">
      <c r="A62" s="12">
        <v>61</v>
      </c>
      <c r="B62" s="12" t="s">
        <v>277</v>
      </c>
      <c r="C62" s="13" t="s">
        <v>65</v>
      </c>
      <c r="D62" s="14">
        <f>IF(Symbols!I14=1,IF(Symbols!J14="",1,Symbols!J14),0)</f>
        <v>1</v>
      </c>
      <c r="E62" s="12">
        <f ca="1">IF(T_Symbols[[#This Row],[Weighting]]&gt;0,RAND()/IF(T_Symbols[[#This Row],[Weighting]]="",1,T_Symbols[[#This Row],[Weighting]]),"")</f>
        <v>0.33523498515368866</v>
      </c>
      <c r="I62" s="12">
        <v>14</v>
      </c>
      <c r="J62" s="13" t="s">
        <v>373</v>
      </c>
      <c r="K62" s="12" t="s">
        <v>374</v>
      </c>
      <c r="L62" s="13" t="s">
        <v>724</v>
      </c>
      <c r="M62" s="12" t="str">
        <f ca="1">IF(T_MP3s[[#This Row],[ID]]=$G$3,RAND(),"")</f>
        <v/>
      </c>
    </row>
    <row r="63" spans="1:13" x14ac:dyDescent="0.25">
      <c r="A63" s="12">
        <v>62</v>
      </c>
      <c r="B63" s="12" t="s">
        <v>278</v>
      </c>
      <c r="C63" s="13" t="s">
        <v>66</v>
      </c>
      <c r="D63" s="14">
        <f>IF(Symbols!I15=1,IF(Symbols!J15="",1,Symbols!J15),0)</f>
        <v>0</v>
      </c>
      <c r="E63" s="12" t="str">
        <f ca="1">IF(T_Symbols[[#This Row],[Weighting]]&gt;0,RAND()/IF(T_Symbols[[#This Row],[Weighting]]="",1,T_Symbols[[#This Row],[Weighting]]),"")</f>
        <v/>
      </c>
      <c r="I63" s="12">
        <v>14</v>
      </c>
      <c r="J63" s="13" t="s">
        <v>392</v>
      </c>
      <c r="K63" s="12" t="s">
        <v>374</v>
      </c>
      <c r="L63" s="13" t="s">
        <v>1002</v>
      </c>
      <c r="M63" s="12" t="str">
        <f ca="1">IF(T_MP3s[[#This Row],[ID]]=$G$3,RAND(),"")</f>
        <v/>
      </c>
    </row>
    <row r="64" spans="1:13" x14ac:dyDescent="0.25">
      <c r="A64" s="12">
        <v>63</v>
      </c>
      <c r="B64" s="12" t="s">
        <v>279</v>
      </c>
      <c r="C64" s="13" t="s">
        <v>67</v>
      </c>
      <c r="D64" s="14">
        <f>IF(Symbols!I16=1,IF(Symbols!J16="",1,Symbols!J16),0)</f>
        <v>1</v>
      </c>
      <c r="E64" s="12">
        <f ca="1">IF(T_Symbols[[#This Row],[Weighting]]&gt;0,RAND()/IF(T_Symbols[[#This Row],[Weighting]]="",1,T_Symbols[[#This Row],[Weighting]]),"")</f>
        <v>0.46078583222931757</v>
      </c>
      <c r="I64" s="12">
        <v>14</v>
      </c>
      <c r="J64" s="13" t="s">
        <v>376</v>
      </c>
      <c r="K64" s="12" t="s">
        <v>374</v>
      </c>
      <c r="L64" s="13" t="s">
        <v>948</v>
      </c>
      <c r="M64" s="12" t="str">
        <f ca="1">IF(T_MP3s[[#This Row],[ID]]=$G$3,RAND(),"")</f>
        <v/>
      </c>
    </row>
    <row r="65" spans="1:13" x14ac:dyDescent="0.25">
      <c r="A65" s="12">
        <v>64</v>
      </c>
      <c r="B65" s="12" t="s">
        <v>280</v>
      </c>
      <c r="C65" s="13" t="s">
        <v>68</v>
      </c>
      <c r="D65" s="14">
        <f>IF(Symbols!I17=1,IF(Symbols!J17="",1,Symbols!J17),0)</f>
        <v>1</v>
      </c>
      <c r="E65" s="12">
        <f ca="1">IF(T_Symbols[[#This Row],[Weighting]]&gt;0,RAND()/IF(T_Symbols[[#This Row],[Weighting]]="",1,T_Symbols[[#This Row],[Weighting]]),"")</f>
        <v>0.41414759709805571</v>
      </c>
      <c r="I65" s="12">
        <v>15</v>
      </c>
      <c r="J65" s="13" t="s">
        <v>378</v>
      </c>
      <c r="K65" s="12" t="s">
        <v>374</v>
      </c>
      <c r="L65" s="13" t="s">
        <v>790</v>
      </c>
      <c r="M65" s="12" t="str">
        <f ca="1">IF(T_MP3s[[#This Row],[ID]]=$G$3,RAND(),"")</f>
        <v/>
      </c>
    </row>
    <row r="66" spans="1:13" x14ac:dyDescent="0.25">
      <c r="A66" s="12">
        <v>65</v>
      </c>
      <c r="B66" s="12" t="s">
        <v>281</v>
      </c>
      <c r="C66" s="13" t="s">
        <v>69</v>
      </c>
      <c r="D66" s="14">
        <f>IF(Symbols!I18=1,IF(Symbols!J18="",1,Symbols!J18),0)</f>
        <v>1</v>
      </c>
      <c r="E66" s="12">
        <f ca="1">IF(T_Symbols[[#This Row],[Weighting]]&gt;0,RAND()/IF(T_Symbols[[#This Row],[Weighting]]="",1,T_Symbols[[#This Row],[Weighting]]),"")</f>
        <v>0.43763028171182694</v>
      </c>
      <c r="I66" s="12">
        <v>15</v>
      </c>
      <c r="J66" s="13" t="s">
        <v>373</v>
      </c>
      <c r="K66" s="12" t="s">
        <v>374</v>
      </c>
      <c r="L66" s="13" t="s">
        <v>636</v>
      </c>
      <c r="M66" s="12" t="str">
        <f ca="1">IF(T_MP3s[[#This Row],[ID]]=$G$3,RAND(),"")</f>
        <v/>
      </c>
    </row>
    <row r="67" spans="1:13" x14ac:dyDescent="0.25">
      <c r="A67" s="12">
        <v>66</v>
      </c>
      <c r="B67" s="12" t="s">
        <v>283</v>
      </c>
      <c r="C67" s="13" t="s">
        <v>70</v>
      </c>
      <c r="D67" s="14">
        <f>IF(Symbols!I19=1,IF(Symbols!J19="",1,Symbols!J19),0)</f>
        <v>1</v>
      </c>
      <c r="E67" s="12">
        <f ca="1">IF(T_Symbols[[#This Row],[Weighting]]&gt;0,RAND()/IF(T_Symbols[[#This Row],[Weighting]]="",1,T_Symbols[[#This Row],[Weighting]]),"")</f>
        <v>0.77342983074118243</v>
      </c>
      <c r="I67" s="12">
        <v>15</v>
      </c>
      <c r="J67" s="13" t="s">
        <v>392</v>
      </c>
      <c r="K67" s="12" t="s">
        <v>374</v>
      </c>
      <c r="L67" s="13" t="s">
        <v>904</v>
      </c>
      <c r="M67" s="12" t="str">
        <f ca="1">IF(T_MP3s[[#This Row],[ID]]=$G$3,RAND(),"")</f>
        <v/>
      </c>
    </row>
    <row r="68" spans="1:13" x14ac:dyDescent="0.25">
      <c r="A68" s="12">
        <v>67</v>
      </c>
      <c r="B68" s="12" t="s">
        <v>286</v>
      </c>
      <c r="C68" s="13" t="s">
        <v>71</v>
      </c>
      <c r="D68" s="14">
        <f>IF(Symbols!I20=1,IF(Symbols!J20="",1,Symbols!J20),0)</f>
        <v>1</v>
      </c>
      <c r="E68" s="12">
        <f ca="1">IF(T_Symbols[[#This Row],[Weighting]]&gt;0,RAND()/IF(T_Symbols[[#This Row],[Weighting]]="",1,T_Symbols[[#This Row],[Weighting]]),"")</f>
        <v>0.87899114869166928</v>
      </c>
      <c r="I68" s="12">
        <v>15</v>
      </c>
      <c r="J68" s="13" t="s">
        <v>376</v>
      </c>
      <c r="K68" s="12" t="s">
        <v>374</v>
      </c>
      <c r="L68" s="13" t="s">
        <v>987</v>
      </c>
      <c r="M68" s="12" t="str">
        <f ca="1">IF(T_MP3s[[#This Row],[ID]]=$G$3,RAND(),"")</f>
        <v/>
      </c>
    </row>
    <row r="69" spans="1:13" x14ac:dyDescent="0.25">
      <c r="A69" s="12">
        <v>68</v>
      </c>
      <c r="B69" s="12" t="s">
        <v>289</v>
      </c>
      <c r="C69" s="13" t="s">
        <v>72</v>
      </c>
      <c r="D69" s="14">
        <f>IF(Symbols!I21=1,IF(Symbols!J21="",1,Symbols!J21),0)</f>
        <v>1</v>
      </c>
      <c r="E69" s="12">
        <f ca="1">IF(T_Symbols[[#This Row],[Weighting]]&gt;0,RAND()/IF(T_Symbols[[#This Row],[Weighting]]="",1,T_Symbols[[#This Row],[Weighting]]),"")</f>
        <v>0.31495734587050772</v>
      </c>
      <c r="I69" s="12">
        <v>16</v>
      </c>
      <c r="J69" s="13" t="s">
        <v>378</v>
      </c>
      <c r="K69" s="12" t="s">
        <v>374</v>
      </c>
      <c r="L69" s="13" t="s">
        <v>385</v>
      </c>
      <c r="M69" s="12" t="str">
        <f ca="1">IF(T_MP3s[[#This Row],[ID]]=$G$3,RAND(),"")</f>
        <v/>
      </c>
    </row>
    <row r="70" spans="1:13" x14ac:dyDescent="0.25">
      <c r="A70" s="12">
        <v>69</v>
      </c>
      <c r="B70" s="12" t="s">
        <v>292</v>
      </c>
      <c r="C70" s="13" t="s">
        <v>73</v>
      </c>
      <c r="D70" s="14">
        <f>IF(Symbols!I22=1,IF(Symbols!J22="",1,Symbols!J22),0)</f>
        <v>1</v>
      </c>
      <c r="E70" s="12">
        <f ca="1">IF(T_Symbols[[#This Row],[Weighting]]&gt;0,RAND()/IF(T_Symbols[[#This Row],[Weighting]]="",1,T_Symbols[[#This Row],[Weighting]]),"")</f>
        <v>0.88235710560672709</v>
      </c>
      <c r="I70" s="12">
        <v>16</v>
      </c>
      <c r="J70" s="13" t="s">
        <v>373</v>
      </c>
      <c r="K70" s="12" t="s">
        <v>374</v>
      </c>
      <c r="L70" s="13" t="s">
        <v>445</v>
      </c>
      <c r="M70" s="12" t="str">
        <f ca="1">IF(T_MP3s[[#This Row],[ID]]=$G$3,RAND(),"")</f>
        <v/>
      </c>
    </row>
    <row r="71" spans="1:13" x14ac:dyDescent="0.25">
      <c r="A71" s="12">
        <v>70</v>
      </c>
      <c r="B71" s="12" t="s">
        <v>295</v>
      </c>
      <c r="C71" s="13" t="s">
        <v>74</v>
      </c>
      <c r="D71" s="14">
        <f>IF(Symbols!I23=1,IF(Symbols!J23="",1,Symbols!J23),0)</f>
        <v>1</v>
      </c>
      <c r="E71" s="12">
        <f ca="1">IF(T_Symbols[[#This Row],[Weighting]]&gt;0,RAND()/IF(T_Symbols[[#This Row],[Weighting]]="",1,T_Symbols[[#This Row],[Weighting]]),"")</f>
        <v>0.93342843687764698</v>
      </c>
      <c r="I71" s="12">
        <v>16</v>
      </c>
      <c r="J71" s="13" t="s">
        <v>392</v>
      </c>
      <c r="K71" s="12" t="s">
        <v>374</v>
      </c>
      <c r="L71" s="13" t="s">
        <v>625</v>
      </c>
      <c r="M71" s="12" t="str">
        <f ca="1">IF(T_MP3s[[#This Row],[ID]]=$G$3,RAND(),"")</f>
        <v/>
      </c>
    </row>
    <row r="72" spans="1:13" x14ac:dyDescent="0.25">
      <c r="A72" s="12">
        <v>71</v>
      </c>
      <c r="B72" s="12" t="s">
        <v>298</v>
      </c>
      <c r="C72" s="13" t="s">
        <v>75</v>
      </c>
      <c r="D72" s="14">
        <f>IF(Symbols!I24=1,IF(Symbols!J24="",1,Symbols!J24),0)</f>
        <v>1</v>
      </c>
      <c r="E72" s="12">
        <f ca="1">IF(T_Symbols[[#This Row],[Weighting]]&gt;0,RAND()/IF(T_Symbols[[#This Row],[Weighting]]="",1,T_Symbols[[#This Row],[Weighting]]),"")</f>
        <v>0.29195714074201418</v>
      </c>
      <c r="I72" s="12">
        <v>16</v>
      </c>
      <c r="J72" s="13" t="s">
        <v>376</v>
      </c>
      <c r="K72" s="12" t="s">
        <v>374</v>
      </c>
      <c r="L72" s="13" t="s">
        <v>929</v>
      </c>
      <c r="M72" s="12" t="str">
        <f ca="1">IF(T_MP3s[[#This Row],[ID]]=$G$3,RAND(),"")</f>
        <v/>
      </c>
    </row>
    <row r="73" spans="1:13" x14ac:dyDescent="0.25">
      <c r="A73" s="12">
        <v>72</v>
      </c>
      <c r="B73" s="12" t="s">
        <v>302</v>
      </c>
      <c r="C73" s="13" t="s">
        <v>76</v>
      </c>
      <c r="D73" s="14">
        <f>IF(Symbols!I25=1,IF(Symbols!J25="",1,Symbols!J25),0)</f>
        <v>1</v>
      </c>
      <c r="E73" s="12">
        <f ca="1">IF(T_Symbols[[#This Row],[Weighting]]&gt;0,RAND()/IF(T_Symbols[[#This Row],[Weighting]]="",1,T_Symbols[[#This Row],[Weighting]]),"")</f>
        <v>0.45031243459099712</v>
      </c>
      <c r="I73" s="12">
        <v>17</v>
      </c>
      <c r="J73" s="13" t="s">
        <v>378</v>
      </c>
      <c r="K73" s="12" t="s">
        <v>374</v>
      </c>
      <c r="L73" s="13" t="s">
        <v>541</v>
      </c>
      <c r="M73" s="12" t="str">
        <f ca="1">IF(T_MP3s[[#This Row],[ID]]=$G$3,RAND(),"")</f>
        <v/>
      </c>
    </row>
    <row r="74" spans="1:13" x14ac:dyDescent="0.25">
      <c r="A74" s="12">
        <v>73</v>
      </c>
      <c r="B74" s="12" t="s">
        <v>305</v>
      </c>
      <c r="C74" s="13" t="s">
        <v>77</v>
      </c>
      <c r="D74" s="14">
        <f>IF(Symbols!I26=1,IF(Symbols!J26="",1,Symbols!J26),0)</f>
        <v>1</v>
      </c>
      <c r="E74" s="12">
        <f ca="1">IF(T_Symbols[[#This Row],[Weighting]]&gt;0,RAND()/IF(T_Symbols[[#This Row],[Weighting]]="",1,T_Symbols[[#This Row],[Weighting]]),"")</f>
        <v>0.56977543370214279</v>
      </c>
      <c r="I74" s="12">
        <v>17</v>
      </c>
      <c r="J74" s="13" t="s">
        <v>373</v>
      </c>
      <c r="K74" s="12" t="s">
        <v>374</v>
      </c>
      <c r="L74" s="13" t="s">
        <v>947</v>
      </c>
      <c r="M74" s="12" t="str">
        <f ca="1">IF(T_MP3s[[#This Row],[ID]]=$G$3,RAND(),"")</f>
        <v/>
      </c>
    </row>
    <row r="75" spans="1:13" x14ac:dyDescent="0.25">
      <c r="A75" s="12">
        <v>74</v>
      </c>
      <c r="B75" s="12" t="s">
        <v>308</v>
      </c>
      <c r="C75" s="13" t="s">
        <v>78</v>
      </c>
      <c r="D75" s="14">
        <f>IF(Symbols!I27=1,IF(Symbols!J27="",1,Symbols!J27),0)</f>
        <v>1</v>
      </c>
      <c r="E75" s="12">
        <f ca="1">IF(T_Symbols[[#This Row],[Weighting]]&gt;0,RAND()/IF(T_Symbols[[#This Row],[Weighting]]="",1,T_Symbols[[#This Row],[Weighting]]),"")</f>
        <v>0.61476255977147276</v>
      </c>
      <c r="I75" s="12">
        <v>17</v>
      </c>
      <c r="J75" s="13" t="s">
        <v>392</v>
      </c>
      <c r="K75" s="12" t="s">
        <v>374</v>
      </c>
      <c r="L75" s="13" t="s">
        <v>703</v>
      </c>
      <c r="M75" s="12" t="str">
        <f ca="1">IF(T_MP3s[[#This Row],[ID]]=$G$3,RAND(),"")</f>
        <v/>
      </c>
    </row>
    <row r="76" spans="1:13" x14ac:dyDescent="0.25">
      <c r="A76" s="12">
        <v>75</v>
      </c>
      <c r="B76" s="12" t="s">
        <v>282</v>
      </c>
      <c r="C76" s="13" t="s">
        <v>79</v>
      </c>
      <c r="D76" s="14">
        <f>IF(Symbols!N13=1,IF(Symbols!O13="",1,Symbols!O13),0)</f>
        <v>1</v>
      </c>
      <c r="E76" s="12">
        <f ca="1">IF(T_Symbols[[#This Row],[Weighting]]&gt;0,RAND()/IF(T_Symbols[[#This Row],[Weighting]]="",1,T_Symbols[[#This Row],[Weighting]]),"")</f>
        <v>0.5957212738441463</v>
      </c>
      <c r="I76" s="12">
        <v>17</v>
      </c>
      <c r="J76" s="13" t="s">
        <v>376</v>
      </c>
      <c r="K76" s="12" t="s">
        <v>374</v>
      </c>
      <c r="L76" s="13" t="s">
        <v>606</v>
      </c>
      <c r="M76" s="12" t="str">
        <f ca="1">IF(T_MP3s[[#This Row],[ID]]=$G$3,RAND(),"")</f>
        <v/>
      </c>
    </row>
    <row r="77" spans="1:13" x14ac:dyDescent="0.25">
      <c r="A77" s="12">
        <v>76</v>
      </c>
      <c r="B77" s="12" t="s">
        <v>284</v>
      </c>
      <c r="C77" s="13" t="s">
        <v>80</v>
      </c>
      <c r="D77" s="14">
        <f>IF(Symbols!N14=1,IF(Symbols!O14="",1,Symbols!O14),0)</f>
        <v>1</v>
      </c>
      <c r="E77" s="12">
        <f ca="1">IF(T_Symbols[[#This Row],[Weighting]]&gt;0,RAND()/IF(T_Symbols[[#This Row],[Weighting]]="",1,T_Symbols[[#This Row],[Weighting]]),"")</f>
        <v>0.86407751226275586</v>
      </c>
      <c r="I77" s="12">
        <v>18</v>
      </c>
      <c r="J77" s="13" t="s">
        <v>378</v>
      </c>
      <c r="K77" s="12" t="s">
        <v>374</v>
      </c>
      <c r="L77" s="13" t="s">
        <v>738</v>
      </c>
      <c r="M77" s="12" t="str">
        <f ca="1">IF(T_MP3s[[#This Row],[ID]]=$G$3,RAND(),"")</f>
        <v/>
      </c>
    </row>
    <row r="78" spans="1:13" x14ac:dyDescent="0.25">
      <c r="A78" s="12">
        <v>77</v>
      </c>
      <c r="B78" s="12" t="s">
        <v>287</v>
      </c>
      <c r="C78" s="13" t="s">
        <v>81</v>
      </c>
      <c r="D78" s="14">
        <f>IF(Symbols!N15=1,IF(Symbols!O15="",1,Symbols!O15),0)</f>
        <v>1</v>
      </c>
      <c r="E78" s="12">
        <f ca="1">IF(T_Symbols[[#This Row],[Weighting]]&gt;0,RAND()/IF(T_Symbols[[#This Row],[Weighting]]="",1,T_Symbols[[#This Row],[Weighting]]),"")</f>
        <v>0.37884636602252886</v>
      </c>
      <c r="I78" s="12">
        <v>18</v>
      </c>
      <c r="J78" s="13" t="s">
        <v>373</v>
      </c>
      <c r="K78" s="12" t="s">
        <v>374</v>
      </c>
      <c r="L78" s="13" t="s">
        <v>812</v>
      </c>
      <c r="M78" s="12" t="str">
        <f ca="1">IF(T_MP3s[[#This Row],[ID]]=$G$3,RAND(),"")</f>
        <v/>
      </c>
    </row>
    <row r="79" spans="1:13" x14ac:dyDescent="0.25">
      <c r="A79" s="12">
        <v>78</v>
      </c>
      <c r="B79" s="12" t="s">
        <v>290</v>
      </c>
      <c r="C79" s="13" t="s">
        <v>82</v>
      </c>
      <c r="D79" s="14">
        <f>IF(Symbols!N16=1,IF(Symbols!O16="",1,Symbols!O16),0)</f>
        <v>1</v>
      </c>
      <c r="E79" s="12">
        <f ca="1">IF(T_Symbols[[#This Row],[Weighting]]&gt;0,RAND()/IF(T_Symbols[[#This Row],[Weighting]]="",1,T_Symbols[[#This Row],[Weighting]]),"")</f>
        <v>0.89374921147270237</v>
      </c>
      <c r="I79" s="12">
        <v>18</v>
      </c>
      <c r="J79" s="13" t="s">
        <v>392</v>
      </c>
      <c r="K79" s="12" t="s">
        <v>374</v>
      </c>
      <c r="L79" s="13" t="s">
        <v>674</v>
      </c>
      <c r="M79" s="12" t="str">
        <f ca="1">IF(T_MP3s[[#This Row],[ID]]=$G$3,RAND(),"")</f>
        <v/>
      </c>
    </row>
    <row r="80" spans="1:13" x14ac:dyDescent="0.25">
      <c r="A80" s="12">
        <v>79</v>
      </c>
      <c r="B80" s="12" t="s">
        <v>293</v>
      </c>
      <c r="C80" s="13" t="s">
        <v>83</v>
      </c>
      <c r="D80" s="14">
        <f>IF(Symbols!N17=1,IF(Symbols!O17="",1,Symbols!O17),0)</f>
        <v>1</v>
      </c>
      <c r="E80" s="12">
        <f ca="1">IF(T_Symbols[[#This Row],[Weighting]]&gt;0,RAND()/IF(T_Symbols[[#This Row],[Weighting]]="",1,T_Symbols[[#This Row],[Weighting]]),"")</f>
        <v>0.56718886972248639</v>
      </c>
      <c r="I80" s="12">
        <v>18</v>
      </c>
      <c r="J80" s="13" t="s">
        <v>376</v>
      </c>
      <c r="K80" s="12" t="s">
        <v>374</v>
      </c>
      <c r="L80" s="13" t="s">
        <v>893</v>
      </c>
      <c r="M80" s="12" t="str">
        <f ca="1">IF(T_MP3s[[#This Row],[ID]]=$G$3,RAND(),"")</f>
        <v/>
      </c>
    </row>
    <row r="81" spans="1:13" x14ac:dyDescent="0.25">
      <c r="A81" s="12">
        <v>80</v>
      </c>
      <c r="B81" s="12" t="s">
        <v>296</v>
      </c>
      <c r="C81" s="13" t="s">
        <v>84</v>
      </c>
      <c r="D81" s="14">
        <f>IF(Symbols!N18=1,IF(Symbols!O18="",1,Symbols!O18),0)</f>
        <v>1</v>
      </c>
      <c r="E81" s="12">
        <f ca="1">IF(T_Symbols[[#This Row],[Weighting]]&gt;0,RAND()/IF(T_Symbols[[#This Row],[Weighting]]="",1,T_Symbols[[#This Row],[Weighting]]),"")</f>
        <v>0.28282473166381417</v>
      </c>
      <c r="I81" s="12">
        <v>19</v>
      </c>
      <c r="J81" s="13" t="s">
        <v>378</v>
      </c>
      <c r="K81" s="12" t="s">
        <v>374</v>
      </c>
      <c r="L81" s="13" t="s">
        <v>549</v>
      </c>
      <c r="M81" s="12" t="str">
        <f ca="1">IF(T_MP3s[[#This Row],[ID]]=$G$3,RAND(),"")</f>
        <v/>
      </c>
    </row>
    <row r="82" spans="1:13" x14ac:dyDescent="0.25">
      <c r="A82" s="12">
        <v>81</v>
      </c>
      <c r="B82" s="12" t="s">
        <v>299</v>
      </c>
      <c r="C82" s="13" t="s">
        <v>85</v>
      </c>
      <c r="D82" s="14">
        <f>IF(Symbols!N19=1,IF(Symbols!O19="",1,Symbols!O19),0)</f>
        <v>1</v>
      </c>
      <c r="E82" s="12">
        <f ca="1">IF(T_Symbols[[#This Row],[Weighting]]&gt;0,RAND()/IF(T_Symbols[[#This Row],[Weighting]]="",1,T_Symbols[[#This Row],[Weighting]]),"")</f>
        <v>0.72750565423905478</v>
      </c>
      <c r="I82" s="12">
        <v>19</v>
      </c>
      <c r="J82" s="13" t="s">
        <v>373</v>
      </c>
      <c r="K82" s="12" t="s">
        <v>374</v>
      </c>
      <c r="L82" s="13" t="s">
        <v>749</v>
      </c>
      <c r="M82" s="12" t="str">
        <f ca="1">IF(T_MP3s[[#This Row],[ID]]=$G$3,RAND(),"")</f>
        <v/>
      </c>
    </row>
    <row r="83" spans="1:13" x14ac:dyDescent="0.25">
      <c r="A83" s="12">
        <v>82</v>
      </c>
      <c r="B83" s="12" t="s">
        <v>303</v>
      </c>
      <c r="C83" s="13" t="s">
        <v>86</v>
      </c>
      <c r="D83" s="14">
        <f>IF(Symbols!N20=1,IF(Symbols!O20="",1,Symbols!O20),0)</f>
        <v>1</v>
      </c>
      <c r="E83" s="12">
        <f ca="1">IF(T_Symbols[[#This Row],[Weighting]]&gt;0,RAND()/IF(T_Symbols[[#This Row],[Weighting]]="",1,T_Symbols[[#This Row],[Weighting]]),"")</f>
        <v>0.70912748920299151</v>
      </c>
      <c r="I83" s="12">
        <v>19</v>
      </c>
      <c r="J83" s="13" t="s">
        <v>392</v>
      </c>
      <c r="K83" s="12" t="s">
        <v>374</v>
      </c>
      <c r="L83" s="13" t="s">
        <v>399</v>
      </c>
      <c r="M83" s="12" t="str">
        <f ca="1">IF(T_MP3s[[#This Row],[ID]]=$G$3,RAND(),"")</f>
        <v/>
      </c>
    </row>
    <row r="84" spans="1:13" x14ac:dyDescent="0.25">
      <c r="A84" s="12">
        <v>83</v>
      </c>
      <c r="B84" s="12" t="s">
        <v>306</v>
      </c>
      <c r="C84" s="13" t="s">
        <v>87</v>
      </c>
      <c r="D84" s="14">
        <f>IF(Symbols!N21=1,IF(Symbols!O21="",1,Symbols!O21),0)</f>
        <v>1</v>
      </c>
      <c r="E84" s="12">
        <f ca="1">IF(T_Symbols[[#This Row],[Weighting]]&gt;0,RAND()/IF(T_Symbols[[#This Row],[Weighting]]="",1,T_Symbols[[#This Row],[Weighting]]),"")</f>
        <v>1.3755513851747114E-2</v>
      </c>
      <c r="I84" s="12">
        <v>19</v>
      </c>
      <c r="J84" s="13" t="s">
        <v>376</v>
      </c>
      <c r="K84" s="12" t="s">
        <v>374</v>
      </c>
      <c r="L84" s="13" t="s">
        <v>515</v>
      </c>
      <c r="M84" s="12" t="str">
        <f ca="1">IF(T_MP3s[[#This Row],[ID]]=$G$3,RAND(),"")</f>
        <v/>
      </c>
    </row>
    <row r="85" spans="1:13" x14ac:dyDescent="0.25">
      <c r="A85" s="12">
        <v>84</v>
      </c>
      <c r="B85" s="12" t="s">
        <v>309</v>
      </c>
      <c r="C85" s="13" t="s">
        <v>88</v>
      </c>
      <c r="D85" s="14">
        <f>IF(Symbols!N22=1,IF(Symbols!O22="",1,Symbols!O22),0)</f>
        <v>1</v>
      </c>
      <c r="E85" s="12">
        <f ca="1">IF(T_Symbols[[#This Row],[Weighting]]&gt;0,RAND()/IF(T_Symbols[[#This Row],[Weighting]]="",1,T_Symbols[[#This Row],[Weighting]]),"")</f>
        <v>0.79366552957231407</v>
      </c>
      <c r="I85" s="12">
        <v>20</v>
      </c>
      <c r="J85" s="13" t="s">
        <v>378</v>
      </c>
      <c r="K85" s="12" t="s">
        <v>374</v>
      </c>
      <c r="L85" s="13" t="s">
        <v>400</v>
      </c>
      <c r="M85" s="12" t="str">
        <f ca="1">IF(T_MP3s[[#This Row],[ID]]=$G$3,RAND(),"")</f>
        <v/>
      </c>
    </row>
    <row r="86" spans="1:13" x14ac:dyDescent="0.25">
      <c r="A86" s="12">
        <v>85</v>
      </c>
      <c r="B86" s="12" t="s">
        <v>333</v>
      </c>
      <c r="C86" s="13" t="s">
        <v>89</v>
      </c>
      <c r="D86" s="14">
        <f>IF(Symbols!N23=1,IF(Symbols!O23="",1,Symbols!O23),0)</f>
        <v>1</v>
      </c>
      <c r="E86" s="12">
        <f ca="1">IF(T_Symbols[[#This Row],[Weighting]]&gt;0,RAND()/IF(T_Symbols[[#This Row],[Weighting]]="",1,T_Symbols[[#This Row],[Weighting]]),"")</f>
        <v>4.4750665650041488E-2</v>
      </c>
      <c r="I86" s="12">
        <v>20</v>
      </c>
      <c r="J86" s="13" t="s">
        <v>373</v>
      </c>
      <c r="K86" s="12" t="s">
        <v>374</v>
      </c>
      <c r="L86" s="13" t="s">
        <v>886</v>
      </c>
      <c r="M86" s="12" t="str">
        <f ca="1">IF(T_MP3s[[#This Row],[ID]]=$G$3,RAND(),"")</f>
        <v/>
      </c>
    </row>
    <row r="87" spans="1:13" x14ac:dyDescent="0.25">
      <c r="A87" s="12">
        <v>86</v>
      </c>
      <c r="B87" s="12" t="s">
        <v>334</v>
      </c>
      <c r="C87" s="13" t="s">
        <v>90</v>
      </c>
      <c r="D87" s="14">
        <f>IF(Symbols!N24=1,IF(Symbols!O24="",1,Symbols!O24),0)</f>
        <v>1</v>
      </c>
      <c r="E87" s="12">
        <f ca="1">IF(T_Symbols[[#This Row],[Weighting]]&gt;0,RAND()/IF(T_Symbols[[#This Row],[Weighting]]="",1,T_Symbols[[#This Row],[Weighting]]),"")</f>
        <v>5.0422840979672423E-2</v>
      </c>
      <c r="I87" s="12">
        <v>20</v>
      </c>
      <c r="J87" s="13" t="s">
        <v>392</v>
      </c>
      <c r="K87" s="12" t="s">
        <v>374</v>
      </c>
      <c r="L87" s="13" t="s">
        <v>415</v>
      </c>
      <c r="M87" s="12" t="str">
        <f ca="1">IF(T_MP3s[[#This Row],[ID]]=$G$3,RAND(),"")</f>
        <v/>
      </c>
    </row>
    <row r="88" spans="1:13" x14ac:dyDescent="0.25">
      <c r="A88" s="12">
        <v>87</v>
      </c>
      <c r="B88" s="12" t="s">
        <v>335</v>
      </c>
      <c r="C88" s="13" t="s">
        <v>91</v>
      </c>
      <c r="D88" s="14">
        <f>IF(Symbols!S13=1,IF(Symbols!T13="",1,Symbols!T13),0)</f>
        <v>1</v>
      </c>
      <c r="E88" s="12">
        <f ca="1">IF(T_Symbols[[#This Row],[Weighting]]&gt;0,RAND()/IF(T_Symbols[[#This Row],[Weighting]]="",1,T_Symbols[[#This Row],[Weighting]]),"")</f>
        <v>0.36671563652411199</v>
      </c>
      <c r="I88" s="12">
        <v>20</v>
      </c>
      <c r="J88" s="13" t="s">
        <v>376</v>
      </c>
      <c r="K88" s="12" t="s">
        <v>374</v>
      </c>
      <c r="L88" s="13" t="s">
        <v>821</v>
      </c>
      <c r="M88" s="12" t="str">
        <f ca="1">IF(T_MP3s[[#This Row],[ID]]=$G$3,RAND(),"")</f>
        <v/>
      </c>
    </row>
    <row r="89" spans="1:13" x14ac:dyDescent="0.25">
      <c r="A89" s="12">
        <v>88</v>
      </c>
      <c r="B89" s="12" t="s">
        <v>336</v>
      </c>
      <c r="C89" s="13" t="s">
        <v>92</v>
      </c>
      <c r="D89" s="14">
        <f>IF(Symbols!S14=1,IF(Symbols!T14="",1,Symbols!T14),0)</f>
        <v>1</v>
      </c>
      <c r="E89" s="12">
        <f ca="1">IF(T_Symbols[[#This Row],[Weighting]]&gt;0,RAND()/IF(T_Symbols[[#This Row],[Weighting]]="",1,T_Symbols[[#This Row],[Weighting]]),"")</f>
        <v>0.55058568220156157</v>
      </c>
      <c r="I89" s="12">
        <v>21</v>
      </c>
      <c r="J89" s="13" t="s">
        <v>378</v>
      </c>
      <c r="K89" s="12" t="s">
        <v>374</v>
      </c>
      <c r="L89" s="13" t="s">
        <v>531</v>
      </c>
      <c r="M89" s="12" t="str">
        <f ca="1">IF(T_MP3s[[#This Row],[ID]]=$G$3,RAND(),"")</f>
        <v/>
      </c>
    </row>
    <row r="90" spans="1:13" x14ac:dyDescent="0.25">
      <c r="A90" s="12">
        <v>89</v>
      </c>
      <c r="B90" s="12" t="s">
        <v>337</v>
      </c>
      <c r="C90" s="13" t="s">
        <v>93</v>
      </c>
      <c r="D90" s="14">
        <f>IF(Symbols!S15=1,IF(Symbols!T15="",1,Symbols!T15),0)</f>
        <v>1</v>
      </c>
      <c r="E90" s="12">
        <f ca="1">IF(T_Symbols[[#This Row],[Weighting]]&gt;0,RAND()/IF(T_Symbols[[#This Row],[Weighting]]="",1,T_Symbols[[#This Row],[Weighting]]),"")</f>
        <v>0.21598501011059235</v>
      </c>
      <c r="I90" s="12">
        <v>21</v>
      </c>
      <c r="J90" s="13" t="s">
        <v>373</v>
      </c>
      <c r="K90" s="12" t="s">
        <v>374</v>
      </c>
      <c r="L90" s="13" t="s">
        <v>718</v>
      </c>
      <c r="M90" s="12" t="str">
        <f ca="1">IF(T_MP3s[[#This Row],[ID]]=$G$3,RAND(),"")</f>
        <v/>
      </c>
    </row>
    <row r="91" spans="1:13" x14ac:dyDescent="0.25">
      <c r="A91" s="12">
        <v>90</v>
      </c>
      <c r="B91" s="12" t="s">
        <v>338</v>
      </c>
      <c r="C91" s="13" t="s">
        <v>94</v>
      </c>
      <c r="D91" s="14">
        <f>IF(Symbols!S16=1,IF(Symbols!T16="",1,Symbols!T16),0)</f>
        <v>1</v>
      </c>
      <c r="E91" s="12">
        <f ca="1">IF(T_Symbols[[#This Row],[Weighting]]&gt;0,RAND()/IF(T_Symbols[[#This Row],[Weighting]]="",1,T_Symbols[[#This Row],[Weighting]]),"")</f>
        <v>0.83231298520521035</v>
      </c>
      <c r="I91" s="12">
        <v>21</v>
      </c>
      <c r="J91" s="13" t="s">
        <v>392</v>
      </c>
      <c r="K91" s="12" t="s">
        <v>374</v>
      </c>
      <c r="L91" s="13" t="s">
        <v>484</v>
      </c>
      <c r="M91" s="12" t="str">
        <f ca="1">IF(T_MP3s[[#This Row],[ID]]=$G$3,RAND(),"")</f>
        <v/>
      </c>
    </row>
    <row r="92" spans="1:13" x14ac:dyDescent="0.25">
      <c r="A92" s="12">
        <v>91</v>
      </c>
      <c r="B92" s="12" t="s">
        <v>339</v>
      </c>
      <c r="C92" s="13" t="s">
        <v>95</v>
      </c>
      <c r="D92" s="14">
        <f>IF(Symbols!S17=1,IF(Symbols!T17="",1,Symbols!T17),0)</f>
        <v>1</v>
      </c>
      <c r="E92" s="12">
        <f ca="1">IF(T_Symbols[[#This Row],[Weighting]]&gt;0,RAND()/IF(T_Symbols[[#This Row],[Weighting]]="",1,T_Symbols[[#This Row],[Weighting]]),"")</f>
        <v>0.52849626076967193</v>
      </c>
      <c r="I92" s="12">
        <v>21</v>
      </c>
      <c r="J92" s="13" t="s">
        <v>376</v>
      </c>
      <c r="K92" s="12" t="s">
        <v>374</v>
      </c>
      <c r="L92" s="13" t="s">
        <v>760</v>
      </c>
      <c r="M92" s="12" t="str">
        <f ca="1">IF(T_MP3s[[#This Row],[ID]]=$G$3,RAND(),"")</f>
        <v/>
      </c>
    </row>
    <row r="93" spans="1:13" x14ac:dyDescent="0.25">
      <c r="A93" s="12">
        <v>92</v>
      </c>
      <c r="B93" s="12" t="s">
        <v>340</v>
      </c>
      <c r="C93" s="13" t="s">
        <v>96</v>
      </c>
      <c r="D93" s="14">
        <f>IF(Symbols!S18=1,IF(Symbols!T18="",1,Symbols!T18),0)</f>
        <v>1</v>
      </c>
      <c r="E93" s="12">
        <f ca="1">IF(T_Symbols[[#This Row],[Weighting]]&gt;0,RAND()/IF(T_Symbols[[#This Row],[Weighting]]="",1,T_Symbols[[#This Row],[Weighting]]),"")</f>
        <v>0.6646473361653531</v>
      </c>
      <c r="I93" s="12">
        <v>22</v>
      </c>
      <c r="J93" s="13" t="s">
        <v>378</v>
      </c>
      <c r="K93" s="12" t="s">
        <v>374</v>
      </c>
      <c r="L93" s="13" t="s">
        <v>410</v>
      </c>
      <c r="M93" s="12" t="str">
        <f ca="1">IF(T_MP3s[[#This Row],[ID]]=$G$3,RAND(),"")</f>
        <v/>
      </c>
    </row>
    <row r="94" spans="1:13" x14ac:dyDescent="0.25">
      <c r="A94" s="12">
        <v>93</v>
      </c>
      <c r="B94" s="12" t="s">
        <v>300</v>
      </c>
      <c r="C94" s="13" t="s">
        <v>97</v>
      </c>
      <c r="D94" s="14">
        <f>IF(Symbols!S19=1,IF(Symbols!T19="",1,Symbols!T19),0)</f>
        <v>1</v>
      </c>
      <c r="E94" s="12">
        <f ca="1">IF(T_Symbols[[#This Row],[Weighting]]&gt;0,RAND()/IF(T_Symbols[[#This Row],[Weighting]]="",1,T_Symbols[[#This Row],[Weighting]]),"")</f>
        <v>0.33124155707851266</v>
      </c>
      <c r="I94" s="12">
        <v>22</v>
      </c>
      <c r="J94" s="13" t="s">
        <v>373</v>
      </c>
      <c r="K94" s="12" t="s">
        <v>374</v>
      </c>
      <c r="L94" s="13" t="s">
        <v>401</v>
      </c>
      <c r="M94" s="12" t="str">
        <f ca="1">IF(T_MP3s[[#This Row],[ID]]=$G$3,RAND(),"")</f>
        <v/>
      </c>
    </row>
    <row r="95" spans="1:13" x14ac:dyDescent="0.25">
      <c r="A95" s="12">
        <v>94</v>
      </c>
      <c r="B95" s="12" t="s">
        <v>341</v>
      </c>
      <c r="C95" s="13" t="s">
        <v>98</v>
      </c>
      <c r="D95" s="14">
        <f>IF(Symbols!S20=1,IF(Symbols!T20="",1,Symbols!T20),0)</f>
        <v>1</v>
      </c>
      <c r="E95" s="12">
        <f ca="1">IF(T_Symbols[[#This Row],[Weighting]]&gt;0,RAND()/IF(T_Symbols[[#This Row],[Weighting]]="",1,T_Symbols[[#This Row],[Weighting]]),"")</f>
        <v>0.90944225627341391</v>
      </c>
      <c r="I95" s="12">
        <v>22</v>
      </c>
      <c r="J95" s="13" t="s">
        <v>392</v>
      </c>
      <c r="K95" s="12" t="s">
        <v>374</v>
      </c>
      <c r="L95" s="13" t="s">
        <v>1000</v>
      </c>
      <c r="M95" s="12" t="str">
        <f ca="1">IF(T_MP3s[[#This Row],[ID]]=$G$3,RAND(),"")</f>
        <v/>
      </c>
    </row>
    <row r="96" spans="1:13" x14ac:dyDescent="0.25">
      <c r="A96" s="12">
        <v>95</v>
      </c>
      <c r="B96" s="12" t="s">
        <v>342</v>
      </c>
      <c r="C96" s="13" t="s">
        <v>99</v>
      </c>
      <c r="D96" s="14">
        <f>IF(Symbols!S21=1,IF(Symbols!T21="",1,Symbols!T21),0)</f>
        <v>1</v>
      </c>
      <c r="E96" s="12">
        <f ca="1">IF(T_Symbols[[#This Row],[Weighting]]&gt;0,RAND()/IF(T_Symbols[[#This Row],[Weighting]]="",1,T_Symbols[[#This Row],[Weighting]]),"")</f>
        <v>0.90536295009555945</v>
      </c>
      <c r="I96" s="12">
        <v>22</v>
      </c>
      <c r="J96" s="13" t="s">
        <v>376</v>
      </c>
      <c r="K96" s="12" t="s">
        <v>374</v>
      </c>
      <c r="L96" s="13" t="s">
        <v>713</v>
      </c>
      <c r="M96" s="12" t="str">
        <f ca="1">IF(T_MP3s[[#This Row],[ID]]=$G$3,RAND(),"")</f>
        <v/>
      </c>
    </row>
    <row r="97" spans="1:13" x14ac:dyDescent="0.25">
      <c r="A97" s="12">
        <v>96</v>
      </c>
      <c r="B97" s="12" t="s">
        <v>343</v>
      </c>
      <c r="C97" s="13" t="s">
        <v>100</v>
      </c>
      <c r="D97" s="14">
        <f>IF(Symbols!S22=1,IF(Symbols!T22="",1,Symbols!T22),0)</f>
        <v>1</v>
      </c>
      <c r="E97" s="12">
        <f ca="1">IF(T_Symbols[[#This Row],[Weighting]]&gt;0,RAND()/IF(T_Symbols[[#This Row],[Weighting]]="",1,T_Symbols[[#This Row],[Weighting]]),"")</f>
        <v>0.84371472326553898</v>
      </c>
      <c r="I97" s="12">
        <v>23</v>
      </c>
      <c r="J97" s="13" t="s">
        <v>378</v>
      </c>
      <c r="K97" s="12" t="s">
        <v>374</v>
      </c>
      <c r="L97" s="13" t="s">
        <v>446</v>
      </c>
      <c r="M97" s="12" t="str">
        <f ca="1">IF(T_MP3s[[#This Row],[ID]]=$G$3,RAND(),"")</f>
        <v/>
      </c>
    </row>
    <row r="98" spans="1:13" x14ac:dyDescent="0.25">
      <c r="A98" s="12">
        <v>97</v>
      </c>
      <c r="B98" s="12" t="s">
        <v>310</v>
      </c>
      <c r="C98" s="13" t="s">
        <v>101</v>
      </c>
      <c r="D98" s="14">
        <f>IF(Symbols!S23=1,IF(Symbols!T23="",1,Symbols!T23),0)</f>
        <v>1</v>
      </c>
      <c r="E98" s="12">
        <f ca="1">IF(T_Symbols[[#This Row],[Weighting]]&gt;0,RAND()/IF(T_Symbols[[#This Row],[Weighting]]="",1,T_Symbols[[#This Row],[Weighting]]),"")</f>
        <v>6.3187815779228829E-2</v>
      </c>
      <c r="I98" s="12">
        <v>23</v>
      </c>
      <c r="J98" s="13" t="s">
        <v>392</v>
      </c>
      <c r="K98" s="12" t="s">
        <v>374</v>
      </c>
      <c r="L98" s="13" t="s">
        <v>405</v>
      </c>
      <c r="M98" s="12" t="str">
        <f ca="1">IF(T_MP3s[[#This Row],[ID]]=$G$3,RAND(),"")</f>
        <v/>
      </c>
    </row>
    <row r="99" spans="1:13" x14ac:dyDescent="0.25">
      <c r="A99" s="12">
        <v>98</v>
      </c>
      <c r="B99" s="12" t="s">
        <v>344</v>
      </c>
      <c r="C99" s="13" t="s">
        <v>102</v>
      </c>
      <c r="D99" s="14">
        <f>IF(Symbols!S24=1,IF(Symbols!T24="",1,Symbols!T24),0)</f>
        <v>1</v>
      </c>
      <c r="E99" s="12">
        <f ca="1">IF(T_Symbols[[#This Row],[Weighting]]&gt;0,RAND()/IF(T_Symbols[[#This Row],[Weighting]]="",1,T_Symbols[[#This Row],[Weighting]]),"")</f>
        <v>0.20668805655306632</v>
      </c>
      <c r="I99" s="12">
        <v>23</v>
      </c>
      <c r="J99" s="13" t="s">
        <v>376</v>
      </c>
      <c r="K99" s="12" t="s">
        <v>374</v>
      </c>
      <c r="L99" s="13" t="s">
        <v>586</v>
      </c>
      <c r="M99" s="12" t="str">
        <f ca="1">IF(T_MP3s[[#This Row],[ID]]=$G$3,RAND(),"")</f>
        <v/>
      </c>
    </row>
    <row r="100" spans="1:13" x14ac:dyDescent="0.25">
      <c r="A100" s="12">
        <v>99</v>
      </c>
      <c r="B100" s="12" t="s">
        <v>345</v>
      </c>
      <c r="C100" s="13" t="s">
        <v>103</v>
      </c>
      <c r="D100" s="14">
        <f>IF(Symbols!S25=1,IF(Symbols!T25="",1,Symbols!T25),0)</f>
        <v>1</v>
      </c>
      <c r="E100" s="12">
        <f ca="1">IF(T_Symbols[[#This Row],[Weighting]]&gt;0,RAND()/IF(T_Symbols[[#This Row],[Weighting]]="",1,T_Symbols[[#This Row],[Weighting]]),"")</f>
        <v>0.51373366331605308</v>
      </c>
      <c r="I100" s="12">
        <v>24</v>
      </c>
      <c r="J100" s="13" t="s">
        <v>378</v>
      </c>
      <c r="K100" s="12" t="s">
        <v>374</v>
      </c>
      <c r="L100" s="13" t="s">
        <v>954</v>
      </c>
      <c r="M100" s="12" t="str">
        <f ca="1">IF(T_MP3s[[#This Row],[ID]]=$G$3,RAND(),"")</f>
        <v/>
      </c>
    </row>
    <row r="101" spans="1:13" x14ac:dyDescent="0.25">
      <c r="A101" s="12">
        <v>100</v>
      </c>
      <c r="B101" s="12" t="s">
        <v>314</v>
      </c>
      <c r="C101" s="13" t="s">
        <v>104</v>
      </c>
      <c r="D101" s="14">
        <f>IF(Symbols!S26=1,IF(Symbols!T26="",1,Symbols!T26),0)</f>
        <v>1</v>
      </c>
      <c r="E101" s="12">
        <f ca="1">IF(T_Symbols[[#This Row],[Weighting]]&gt;0,RAND()/IF(T_Symbols[[#This Row],[Weighting]]="",1,T_Symbols[[#This Row],[Weighting]]),"")</f>
        <v>9.5660247701758738E-2</v>
      </c>
      <c r="I101" s="12">
        <v>25</v>
      </c>
      <c r="J101" s="13" t="s">
        <v>378</v>
      </c>
      <c r="K101" s="12" t="s">
        <v>374</v>
      </c>
      <c r="L101" s="13" t="s">
        <v>951</v>
      </c>
      <c r="M101" s="12" t="str">
        <f ca="1">IF(T_MP3s[[#This Row],[ID]]=$G$3,RAND(),"")</f>
        <v/>
      </c>
    </row>
    <row r="102" spans="1:13" x14ac:dyDescent="0.25">
      <c r="A102" s="12">
        <v>101</v>
      </c>
      <c r="B102" s="12" t="s">
        <v>316</v>
      </c>
      <c r="C102" s="13" t="s">
        <v>105</v>
      </c>
      <c r="D102" s="14">
        <f>IF(Symbols!S27=1,IF(Symbols!T27="",1,Symbols!T27),0)</f>
        <v>1</v>
      </c>
      <c r="E102" s="12">
        <f ca="1">IF(T_Symbols[[#This Row],[Weighting]]&gt;0,RAND()/IF(T_Symbols[[#This Row],[Weighting]]="",1,T_Symbols[[#This Row],[Weighting]]),"")</f>
        <v>0.2698908072873677</v>
      </c>
      <c r="I102" s="12">
        <v>25</v>
      </c>
      <c r="J102" s="13" t="s">
        <v>373</v>
      </c>
      <c r="K102" s="12" t="s">
        <v>374</v>
      </c>
      <c r="L102" s="13" t="s">
        <v>643</v>
      </c>
      <c r="M102" s="12" t="str">
        <f ca="1">IF(T_MP3s[[#This Row],[ID]]=$G$3,RAND(),"")</f>
        <v/>
      </c>
    </row>
    <row r="103" spans="1:13" x14ac:dyDescent="0.25">
      <c r="A103" s="12">
        <v>102</v>
      </c>
      <c r="B103" s="12" t="s">
        <v>346</v>
      </c>
      <c r="C103" s="13" t="s">
        <v>106</v>
      </c>
      <c r="D103" s="14">
        <f>IF(Symbols!S28=1,IF(Symbols!T28="",1,Symbols!T28),0)</f>
        <v>1</v>
      </c>
      <c r="E103" s="12">
        <f ca="1">IF(T_Symbols[[#This Row],[Weighting]]&gt;0,RAND()/IF(T_Symbols[[#This Row],[Weighting]]="",1,T_Symbols[[#This Row],[Weighting]]),"")</f>
        <v>0.54912950654922854</v>
      </c>
      <c r="I103" s="12">
        <v>25</v>
      </c>
      <c r="J103" s="13" t="s">
        <v>392</v>
      </c>
      <c r="K103" s="12" t="s">
        <v>374</v>
      </c>
      <c r="L103" s="13" t="s">
        <v>542</v>
      </c>
      <c r="M103" s="12" t="str">
        <f ca="1">IF(T_MP3s[[#This Row],[ID]]=$G$3,RAND(),"")</f>
        <v/>
      </c>
    </row>
    <row r="104" spans="1:13" x14ac:dyDescent="0.25">
      <c r="A104" s="12">
        <v>103</v>
      </c>
      <c r="B104" s="12" t="s">
        <v>319</v>
      </c>
      <c r="C104" s="13" t="s">
        <v>107</v>
      </c>
      <c r="D104" s="14">
        <f>IF(Symbols!S29=1,IF(Symbols!T29="",1,Symbols!T29),0)</f>
        <v>1</v>
      </c>
      <c r="E104" s="12">
        <f ca="1">IF(T_Symbols[[#This Row],[Weighting]]&gt;0,RAND()/IF(T_Symbols[[#This Row],[Weighting]]="",1,T_Symbols[[#This Row],[Weighting]]),"")</f>
        <v>0.85435690632086025</v>
      </c>
      <c r="I104" s="12">
        <v>25</v>
      </c>
      <c r="J104" s="13" t="s">
        <v>376</v>
      </c>
      <c r="K104" s="12" t="s">
        <v>374</v>
      </c>
      <c r="L104" s="13" t="s">
        <v>828</v>
      </c>
      <c r="M104" s="12" t="str">
        <f ca="1">IF(T_MP3s[[#This Row],[ID]]=$G$3,RAND(),"")</f>
        <v/>
      </c>
    </row>
    <row r="105" spans="1:13" x14ac:dyDescent="0.25">
      <c r="A105" s="12">
        <v>104</v>
      </c>
      <c r="B105" s="12" t="s">
        <v>321</v>
      </c>
      <c r="C105" s="13" t="s">
        <v>108</v>
      </c>
      <c r="D105" s="14">
        <f>IF(Symbols!S30=1,IF(Symbols!T30="",1,Symbols!T30),0)</f>
        <v>1</v>
      </c>
      <c r="E105" s="12">
        <f ca="1">IF(T_Symbols[[#This Row],[Weighting]]&gt;0,RAND()/IF(T_Symbols[[#This Row],[Weighting]]="",1,T_Symbols[[#This Row],[Weighting]]),"")</f>
        <v>0.33732774875511151</v>
      </c>
      <c r="I105" s="12">
        <v>26</v>
      </c>
      <c r="J105" s="13" t="s">
        <v>378</v>
      </c>
      <c r="K105" s="12" t="s">
        <v>374</v>
      </c>
      <c r="L105" s="13" t="s">
        <v>579</v>
      </c>
      <c r="M105" s="12" t="str">
        <f ca="1">IF(T_MP3s[[#This Row],[ID]]=$G$3,RAND(),"")</f>
        <v/>
      </c>
    </row>
    <row r="106" spans="1:13" x14ac:dyDescent="0.25">
      <c r="A106" s="12">
        <v>105</v>
      </c>
      <c r="B106" s="12" t="s">
        <v>347</v>
      </c>
      <c r="C106" s="13" t="s">
        <v>109</v>
      </c>
      <c r="D106" s="14">
        <f>IF(Symbols!S31=1,IF(Symbols!T31="",1,Symbols!T31),0)</f>
        <v>0</v>
      </c>
      <c r="E106" s="12" t="str">
        <f ca="1">IF(T_Symbols[[#This Row],[Weighting]]&gt;0,RAND()/IF(T_Symbols[[#This Row],[Weighting]]="",1,T_Symbols[[#This Row],[Weighting]]),"")</f>
        <v/>
      </c>
      <c r="I106" s="12">
        <v>26</v>
      </c>
      <c r="J106" s="13" t="s">
        <v>373</v>
      </c>
      <c r="K106" s="12" t="s">
        <v>374</v>
      </c>
      <c r="L106" s="13" t="s">
        <v>398</v>
      </c>
      <c r="M106" s="12" t="str">
        <f ca="1">IF(T_MP3s[[#This Row],[ID]]=$G$3,RAND(),"")</f>
        <v/>
      </c>
    </row>
    <row r="107" spans="1:13" x14ac:dyDescent="0.25">
      <c r="A107" s="12">
        <v>106</v>
      </c>
      <c r="B107" s="12" t="s">
        <v>324</v>
      </c>
      <c r="C107" s="13" t="s">
        <v>110</v>
      </c>
      <c r="D107" s="14">
        <f>IF(Symbols!S32=1,IF(Symbols!T32="",1,Symbols!T32),0)</f>
        <v>1</v>
      </c>
      <c r="E107" s="12">
        <f ca="1">IF(T_Symbols[[#This Row],[Weighting]]&gt;0,RAND()/IF(T_Symbols[[#This Row],[Weighting]]="",1,T_Symbols[[#This Row],[Weighting]]),"")</f>
        <v>0.60305516488767674</v>
      </c>
      <c r="I107" s="12">
        <v>26</v>
      </c>
      <c r="J107" s="13" t="s">
        <v>392</v>
      </c>
      <c r="K107" s="12" t="s">
        <v>374</v>
      </c>
      <c r="L107" s="13" t="s">
        <v>887</v>
      </c>
      <c r="M107" s="12" t="str">
        <f ca="1">IF(T_MP3s[[#This Row],[ID]]=$G$3,RAND(),"")</f>
        <v/>
      </c>
    </row>
    <row r="108" spans="1:13" x14ac:dyDescent="0.25">
      <c r="A108" s="12">
        <v>107</v>
      </c>
      <c r="B108" s="12" t="s">
        <v>349</v>
      </c>
      <c r="C108" s="13" t="s">
        <v>111</v>
      </c>
      <c r="D108" s="14">
        <f>IF(Symbols!S33=1,IF(Symbols!T33="",1,Symbols!T33),0)</f>
        <v>1</v>
      </c>
      <c r="E108" s="12">
        <f ca="1">IF(T_Symbols[[#This Row],[Weighting]]&gt;0,RAND()/IF(T_Symbols[[#This Row],[Weighting]]="",1,T_Symbols[[#This Row],[Weighting]]),"")</f>
        <v>0.40794214627623138</v>
      </c>
      <c r="I108" s="12">
        <v>26</v>
      </c>
      <c r="J108" s="13" t="s">
        <v>376</v>
      </c>
      <c r="K108" s="12" t="s">
        <v>374</v>
      </c>
      <c r="L108" s="13" t="s">
        <v>634</v>
      </c>
      <c r="M108" s="12" t="str">
        <f ca="1">IF(T_MP3s[[#This Row],[ID]]=$G$3,RAND(),"")</f>
        <v/>
      </c>
    </row>
    <row r="109" spans="1:13" x14ac:dyDescent="0.25">
      <c r="A109" s="12">
        <v>108</v>
      </c>
      <c r="B109" s="12" t="s">
        <v>350</v>
      </c>
      <c r="C109" s="13" t="s">
        <v>112</v>
      </c>
      <c r="D109" s="14">
        <f>IF(Symbols!S34=1,IF(Symbols!T34="",1,Symbols!T34),0)</f>
        <v>0</v>
      </c>
      <c r="E109" s="12" t="str">
        <f ca="1">IF(T_Symbols[[#This Row],[Weighting]]&gt;0,RAND()/IF(T_Symbols[[#This Row],[Weighting]]="",1,T_Symbols[[#This Row],[Weighting]]),"")</f>
        <v/>
      </c>
      <c r="I109" s="12">
        <v>27</v>
      </c>
      <c r="J109" s="13" t="s">
        <v>378</v>
      </c>
      <c r="K109" s="12" t="s">
        <v>374</v>
      </c>
      <c r="L109" s="13" t="s">
        <v>715</v>
      </c>
      <c r="M109" s="12" t="str">
        <f ca="1">IF(T_MP3s[[#This Row],[ID]]=$G$3,RAND(),"")</f>
        <v/>
      </c>
    </row>
    <row r="110" spans="1:13" x14ac:dyDescent="0.25">
      <c r="A110" s="12">
        <v>109</v>
      </c>
      <c r="B110" s="12" t="s">
        <v>351</v>
      </c>
      <c r="C110" s="13" t="s">
        <v>113</v>
      </c>
      <c r="D110" s="14">
        <f>IF(Symbols!S35=1,IF(Symbols!T35="",1,Symbols!T35),0)</f>
        <v>1</v>
      </c>
      <c r="E110" s="12">
        <f ca="1">IF(T_Symbols[[#This Row],[Weighting]]&gt;0,RAND()/IF(T_Symbols[[#This Row],[Weighting]]="",1,T_Symbols[[#This Row],[Weighting]]),"")</f>
        <v>0.47987193675269701</v>
      </c>
      <c r="I110" s="12">
        <v>27</v>
      </c>
      <c r="J110" s="13" t="s">
        <v>373</v>
      </c>
      <c r="K110" s="12" t="s">
        <v>374</v>
      </c>
      <c r="L110" s="13" t="s">
        <v>516</v>
      </c>
      <c r="M110" s="12" t="str">
        <f ca="1">IF(T_MP3s[[#This Row],[ID]]=$G$3,RAND(),"")</f>
        <v/>
      </c>
    </row>
    <row r="111" spans="1:13" x14ac:dyDescent="0.25">
      <c r="A111" s="12">
        <v>110</v>
      </c>
      <c r="B111" s="12" t="s">
        <v>352</v>
      </c>
      <c r="C111" s="13" t="s">
        <v>114</v>
      </c>
      <c r="D111" s="14">
        <f>IF(Symbols!S36=1,IF(Symbols!T36="",1,Symbols!T36),0)</f>
        <v>1</v>
      </c>
      <c r="E111" s="12">
        <f ca="1">IF(T_Symbols[[#This Row],[Weighting]]&gt;0,RAND()/IF(T_Symbols[[#This Row],[Weighting]]="",1,T_Symbols[[#This Row],[Weighting]]),"")</f>
        <v>0.89243114714820859</v>
      </c>
      <c r="I111" s="12">
        <v>27</v>
      </c>
      <c r="J111" s="13" t="s">
        <v>392</v>
      </c>
      <c r="K111" s="12" t="s">
        <v>374</v>
      </c>
      <c r="L111" s="13" t="s">
        <v>528</v>
      </c>
      <c r="M111" s="12" t="str">
        <f ca="1">IF(T_MP3s[[#This Row],[ID]]=$G$3,RAND(),"")</f>
        <v/>
      </c>
    </row>
    <row r="112" spans="1:13" x14ac:dyDescent="0.25">
      <c r="A112" s="12">
        <v>111</v>
      </c>
      <c r="B112" s="12" t="s">
        <v>353</v>
      </c>
      <c r="C112" s="13" t="s">
        <v>115</v>
      </c>
      <c r="D112" s="14">
        <f>IF(Symbols!S37=1,IF(Symbols!T37="",1,Symbols!T37),0)</f>
        <v>1</v>
      </c>
      <c r="E112" s="12">
        <f ca="1">IF(T_Symbols[[#This Row],[Weighting]]&gt;0,RAND()/IF(T_Symbols[[#This Row],[Weighting]]="",1,T_Symbols[[#This Row],[Weighting]]),"")</f>
        <v>0.53493425808772721</v>
      </c>
      <c r="I112" s="12">
        <v>27</v>
      </c>
      <c r="J112" s="13" t="s">
        <v>376</v>
      </c>
      <c r="K112" s="12" t="s">
        <v>374</v>
      </c>
      <c r="L112" s="13" t="s">
        <v>906</v>
      </c>
      <c r="M112" s="12" t="str">
        <f ca="1">IF(T_MP3s[[#This Row],[ID]]=$G$3,RAND(),"")</f>
        <v/>
      </c>
    </row>
    <row r="113" spans="1:13" x14ac:dyDescent="0.25">
      <c r="A113" s="12">
        <v>112</v>
      </c>
      <c r="B113" s="12" t="s">
        <v>354</v>
      </c>
      <c r="C113" s="13" t="s">
        <v>116</v>
      </c>
      <c r="D113" s="14">
        <f>IF(Symbols!S38=1,IF(Symbols!T38="",1,Symbols!T38),0)</f>
        <v>0</v>
      </c>
      <c r="E113" s="12" t="str">
        <f ca="1">IF(T_Symbols[[#This Row],[Weighting]]&gt;0,RAND()/IF(T_Symbols[[#This Row],[Weighting]]="",1,T_Symbols[[#This Row],[Weighting]]),"")</f>
        <v/>
      </c>
      <c r="I113" s="12">
        <v>28</v>
      </c>
      <c r="J113" s="13" t="s">
        <v>378</v>
      </c>
      <c r="K113" s="12" t="s">
        <v>374</v>
      </c>
      <c r="L113" s="13" t="s">
        <v>675</v>
      </c>
      <c r="M113" s="12" t="str">
        <f ca="1">IF(T_MP3s[[#This Row],[ID]]=$G$3,RAND(),"")</f>
        <v/>
      </c>
    </row>
    <row r="114" spans="1:13" x14ac:dyDescent="0.25">
      <c r="A114" s="12">
        <v>113</v>
      </c>
      <c r="B114" s="12" t="s">
        <v>355</v>
      </c>
      <c r="C114" s="13" t="s">
        <v>117</v>
      </c>
      <c r="D114" s="14">
        <f>IF(Symbols!S39=1,IF(Symbols!T39="",1,Symbols!T39),0)</f>
        <v>1</v>
      </c>
      <c r="E114" s="12">
        <f ca="1">IF(T_Symbols[[#This Row],[Weighting]]&gt;0,RAND()/IF(T_Symbols[[#This Row],[Weighting]]="",1,T_Symbols[[#This Row],[Weighting]]),"")</f>
        <v>0.65628173471569984</v>
      </c>
      <c r="I114" s="12">
        <v>28</v>
      </c>
      <c r="J114" s="13" t="s">
        <v>373</v>
      </c>
      <c r="K114" s="12" t="s">
        <v>374</v>
      </c>
      <c r="L114" s="13" t="s">
        <v>458</v>
      </c>
      <c r="M114" s="12" t="str">
        <f ca="1">IF(T_MP3s[[#This Row],[ID]]=$G$3,RAND(),"")</f>
        <v/>
      </c>
    </row>
    <row r="115" spans="1:13" x14ac:dyDescent="0.25">
      <c r="A115" s="12">
        <v>114</v>
      </c>
      <c r="B115" s="12" t="s">
        <v>356</v>
      </c>
      <c r="C115" s="13" t="s">
        <v>118</v>
      </c>
      <c r="D115" s="14">
        <f>IF(Symbols!S40=1,IF(Symbols!T40="",1,Symbols!T40),0)</f>
        <v>0</v>
      </c>
      <c r="E115" s="12" t="str">
        <f ca="1">IF(T_Symbols[[#This Row],[Weighting]]&gt;0,RAND()/IF(T_Symbols[[#This Row],[Weighting]]="",1,T_Symbols[[#This Row],[Weighting]]),"")</f>
        <v/>
      </c>
      <c r="I115" s="12">
        <v>28</v>
      </c>
      <c r="J115" s="13" t="s">
        <v>392</v>
      </c>
      <c r="K115" s="12" t="s">
        <v>374</v>
      </c>
      <c r="L115" s="13" t="s">
        <v>508</v>
      </c>
      <c r="M115" s="12" t="str">
        <f ca="1">IF(T_MP3s[[#This Row],[ID]]=$G$3,RAND(),"")</f>
        <v/>
      </c>
    </row>
    <row r="116" spans="1:13" x14ac:dyDescent="0.25">
      <c r="A116" s="12">
        <v>115</v>
      </c>
      <c r="B116" s="12" t="s">
        <v>357</v>
      </c>
      <c r="C116" s="13" t="s">
        <v>119</v>
      </c>
      <c r="D116" s="14">
        <f>IF(Symbols!S41=1,IF(Symbols!T41="",1,Symbols!T41),0)</f>
        <v>1</v>
      </c>
      <c r="E116" s="12">
        <f ca="1">IF(T_Symbols[[#This Row],[Weighting]]&gt;0,RAND()/IF(T_Symbols[[#This Row],[Weighting]]="",1,T_Symbols[[#This Row],[Weighting]]),"")</f>
        <v>0.79974090063640291</v>
      </c>
      <c r="I116" s="12">
        <v>28</v>
      </c>
      <c r="J116" s="13" t="s">
        <v>376</v>
      </c>
      <c r="K116" s="12" t="s">
        <v>374</v>
      </c>
      <c r="L116" s="13" t="s">
        <v>380</v>
      </c>
      <c r="M116" s="12" t="str">
        <f ca="1">IF(T_MP3s[[#This Row],[ID]]=$G$3,RAND(),"")</f>
        <v/>
      </c>
    </row>
    <row r="117" spans="1:13" x14ac:dyDescent="0.25">
      <c r="A117" s="12">
        <v>116</v>
      </c>
      <c r="B117" s="12" t="s">
        <v>348</v>
      </c>
      <c r="C117" s="13" t="s">
        <v>120</v>
      </c>
      <c r="D117" s="14">
        <f>IF(Symbols!S42=1,IF(Symbols!T42="",1,Symbols!T42),0)</f>
        <v>1</v>
      </c>
      <c r="E117" s="12">
        <f ca="1">IF(T_Symbols[[#This Row],[Weighting]]&gt;0,RAND()/IF(T_Symbols[[#This Row],[Weighting]]="",1,T_Symbols[[#This Row],[Weighting]]),"")</f>
        <v>0.71393043837322034</v>
      </c>
      <c r="I117" s="12">
        <v>29</v>
      </c>
      <c r="J117" s="13" t="s">
        <v>378</v>
      </c>
      <c r="K117" s="12" t="s">
        <v>374</v>
      </c>
      <c r="L117" s="13" t="s">
        <v>870</v>
      </c>
      <c r="M117" s="12" t="str">
        <f ca="1">IF(T_MP3s[[#This Row],[ID]]=$G$3,RAND(),"")</f>
        <v/>
      </c>
    </row>
    <row r="118" spans="1:13" x14ac:dyDescent="0.25">
      <c r="A118" s="12">
        <v>117</v>
      </c>
      <c r="B118" s="12" t="s">
        <v>358</v>
      </c>
      <c r="C118" s="13" t="s">
        <v>121</v>
      </c>
      <c r="D118" s="14">
        <f>IF(Symbols!S43=1,IF(Symbols!T43="",1,Symbols!T43),0)</f>
        <v>1</v>
      </c>
      <c r="E118" s="12">
        <f ca="1">IF(T_Symbols[[#This Row],[Weighting]]&gt;0,RAND()/IF(T_Symbols[[#This Row],[Weighting]]="",1,T_Symbols[[#This Row],[Weighting]]),"")</f>
        <v>0.87130526295697897</v>
      </c>
      <c r="I118" s="12">
        <v>29</v>
      </c>
      <c r="J118" s="13" t="s">
        <v>373</v>
      </c>
      <c r="K118" s="12" t="s">
        <v>374</v>
      </c>
      <c r="L118" s="13" t="s">
        <v>622</v>
      </c>
      <c r="M118" s="12" t="str">
        <f ca="1">IF(T_MP3s[[#This Row],[ID]]=$G$3,RAND(),"")</f>
        <v/>
      </c>
    </row>
    <row r="119" spans="1:13" x14ac:dyDescent="0.25">
      <c r="A119" s="12">
        <v>118</v>
      </c>
      <c r="B119" s="12" t="s">
        <v>190</v>
      </c>
      <c r="C119" s="13" t="s">
        <v>122</v>
      </c>
      <c r="D119" s="14">
        <f>IF(Symbols!X13=1,IF(Symbols!Y13="",1,Symbols!Y13),0)</f>
        <v>1</v>
      </c>
      <c r="E119" s="12">
        <f ca="1">IF(T_Symbols[[#This Row],[Weighting]]&gt;0,RAND()/IF(T_Symbols[[#This Row],[Weighting]]="",1,T_Symbols[[#This Row],[Weighting]]),"")</f>
        <v>0.36883251289501062</v>
      </c>
      <c r="I119" s="12">
        <v>29</v>
      </c>
      <c r="J119" s="13" t="s">
        <v>392</v>
      </c>
      <c r="K119" s="12" t="s">
        <v>374</v>
      </c>
      <c r="L119" s="13" t="s">
        <v>423</v>
      </c>
      <c r="M119" s="12" t="str">
        <f ca="1">IF(T_MP3s[[#This Row],[ID]]=$G$3,RAND(),"")</f>
        <v/>
      </c>
    </row>
    <row r="120" spans="1:13" x14ac:dyDescent="0.25">
      <c r="A120" s="12">
        <v>119</v>
      </c>
      <c r="B120" s="12" t="s">
        <v>285</v>
      </c>
      <c r="C120" s="13" t="s">
        <v>123</v>
      </c>
      <c r="D120" s="14">
        <f>IF(Symbols!X14=1,IF(Symbols!Y14="",1,Symbols!Y14),0)</f>
        <v>1</v>
      </c>
      <c r="E120" s="12">
        <f ca="1">IF(T_Symbols[[#This Row],[Weighting]]&gt;0,RAND()/IF(T_Symbols[[#This Row],[Weighting]]="",1,T_Symbols[[#This Row],[Weighting]]),"")</f>
        <v>0.82729677426973891</v>
      </c>
      <c r="I120" s="12">
        <v>29</v>
      </c>
      <c r="J120" s="13" t="s">
        <v>376</v>
      </c>
      <c r="K120" s="12" t="s">
        <v>374</v>
      </c>
      <c r="L120" s="13" t="s">
        <v>856</v>
      </c>
      <c r="M120" s="12" t="str">
        <f ca="1">IF(T_MP3s[[#This Row],[ID]]=$G$3,RAND(),"")</f>
        <v/>
      </c>
    </row>
    <row r="121" spans="1:13" x14ac:dyDescent="0.25">
      <c r="A121" s="12">
        <v>120</v>
      </c>
      <c r="B121" s="12" t="s">
        <v>288</v>
      </c>
      <c r="C121" s="13" t="s">
        <v>124</v>
      </c>
      <c r="D121" s="14">
        <f>IF(Symbols!X15=1,IF(Symbols!Y15="",1,Symbols!Y15),0)</f>
        <v>1</v>
      </c>
      <c r="E121" s="12">
        <f ca="1">IF(T_Symbols[[#This Row],[Weighting]]&gt;0,RAND()/IF(T_Symbols[[#This Row],[Weighting]]="",1,T_Symbols[[#This Row],[Weighting]]),"")</f>
        <v>0.14186755554829522</v>
      </c>
      <c r="I121" s="12">
        <v>30</v>
      </c>
      <c r="J121" s="13" t="s">
        <v>378</v>
      </c>
      <c r="K121" s="12" t="s">
        <v>374</v>
      </c>
      <c r="L121" s="13" t="s">
        <v>884</v>
      </c>
      <c r="M121" s="12" t="str">
        <f ca="1">IF(T_MP3s[[#This Row],[ID]]=$G$3,RAND(),"")</f>
        <v/>
      </c>
    </row>
    <row r="122" spans="1:13" x14ac:dyDescent="0.25">
      <c r="A122" s="12">
        <v>121</v>
      </c>
      <c r="B122" s="12" t="s">
        <v>291</v>
      </c>
      <c r="C122" s="13" t="s">
        <v>125</v>
      </c>
      <c r="D122" s="14">
        <f>IF(Symbols!X16=1,IF(Symbols!Y16="",1,Symbols!Y16),0)</f>
        <v>1</v>
      </c>
      <c r="E122" s="12">
        <f ca="1">IF(T_Symbols[[#This Row],[Weighting]]&gt;0,RAND()/IF(T_Symbols[[#This Row],[Weighting]]="",1,T_Symbols[[#This Row],[Weighting]]),"")</f>
        <v>0.39118979938076259</v>
      </c>
      <c r="I122" s="12">
        <v>30</v>
      </c>
      <c r="J122" s="13" t="s">
        <v>373</v>
      </c>
      <c r="K122" s="12" t="s">
        <v>374</v>
      </c>
      <c r="L122" s="13" t="s">
        <v>623</v>
      </c>
      <c r="M122" s="12" t="str">
        <f ca="1">IF(T_MP3s[[#This Row],[ID]]=$G$3,RAND(),"")</f>
        <v/>
      </c>
    </row>
    <row r="123" spans="1:13" x14ac:dyDescent="0.25">
      <c r="A123" s="12">
        <v>122</v>
      </c>
      <c r="B123" s="12" t="s">
        <v>294</v>
      </c>
      <c r="C123" s="13" t="s">
        <v>126</v>
      </c>
      <c r="D123" s="14">
        <f>IF(Symbols!X17=1,IF(Symbols!Y17="",1,Symbols!Y17),0)</f>
        <v>1</v>
      </c>
      <c r="E123" s="12">
        <f ca="1">IF(T_Symbols[[#This Row],[Weighting]]&gt;0,RAND()/IF(T_Symbols[[#This Row],[Weighting]]="",1,T_Symbols[[#This Row],[Weighting]]),"")</f>
        <v>0.95777102224681132</v>
      </c>
      <c r="I123" s="12">
        <v>30</v>
      </c>
      <c r="J123" s="13" t="s">
        <v>392</v>
      </c>
      <c r="K123" s="12" t="s">
        <v>374</v>
      </c>
      <c r="L123" s="13" t="s">
        <v>461</v>
      </c>
      <c r="M123" s="12" t="str">
        <f ca="1">IF(T_MP3s[[#This Row],[ID]]=$G$3,RAND(),"")</f>
        <v/>
      </c>
    </row>
    <row r="124" spans="1:13" x14ac:dyDescent="0.25">
      <c r="A124" s="12">
        <v>123</v>
      </c>
      <c r="B124" s="12" t="s">
        <v>297</v>
      </c>
      <c r="C124" s="13" t="s">
        <v>127</v>
      </c>
      <c r="D124" s="14">
        <f>IF(Symbols!X18=1,IF(Symbols!Y18="",1,Symbols!Y18),0)</f>
        <v>1</v>
      </c>
      <c r="E124" s="12">
        <f ca="1">IF(T_Symbols[[#This Row],[Weighting]]&gt;0,RAND()/IF(T_Symbols[[#This Row],[Weighting]]="",1,T_Symbols[[#This Row],[Weighting]]),"")</f>
        <v>0.41273969443013503</v>
      </c>
      <c r="I124" s="12">
        <v>30</v>
      </c>
      <c r="J124" s="13" t="s">
        <v>376</v>
      </c>
      <c r="K124" s="12" t="s">
        <v>374</v>
      </c>
      <c r="L124" s="13" t="s">
        <v>384</v>
      </c>
      <c r="M124" s="12" t="str">
        <f ca="1">IF(T_MP3s[[#This Row],[ID]]=$G$3,RAND(),"")</f>
        <v/>
      </c>
    </row>
    <row r="125" spans="1:13" x14ac:dyDescent="0.25">
      <c r="A125" s="12">
        <v>124</v>
      </c>
      <c r="B125" s="12" t="s">
        <v>301</v>
      </c>
      <c r="C125" s="13" t="s">
        <v>128</v>
      </c>
      <c r="D125" s="14">
        <f>IF(Symbols!X19=1,IF(Symbols!Y19="",1,Symbols!Y19),0)</f>
        <v>1</v>
      </c>
      <c r="E125" s="12">
        <f ca="1">IF(T_Symbols[[#This Row],[Weighting]]&gt;0,RAND()/IF(T_Symbols[[#This Row],[Weighting]]="",1,T_Symbols[[#This Row],[Weighting]]),"")</f>
        <v>0.95019965745813739</v>
      </c>
      <c r="I125" s="12">
        <v>31</v>
      </c>
      <c r="J125" s="13" t="s">
        <v>378</v>
      </c>
      <c r="K125" s="12" t="s">
        <v>374</v>
      </c>
      <c r="L125" s="13" t="s">
        <v>919</v>
      </c>
      <c r="M125" s="12" t="str">
        <f ca="1">IF(T_MP3s[[#This Row],[ID]]=$G$3,RAND(),"")</f>
        <v/>
      </c>
    </row>
    <row r="126" spans="1:13" x14ac:dyDescent="0.25">
      <c r="A126" s="12">
        <v>125</v>
      </c>
      <c r="B126" s="12" t="s">
        <v>304</v>
      </c>
      <c r="C126" s="13" t="s">
        <v>129</v>
      </c>
      <c r="D126" s="14">
        <f>IF(Symbols!X20=1,IF(Symbols!Y20="",1,Symbols!Y20),0)</f>
        <v>1</v>
      </c>
      <c r="E126" s="12">
        <f ca="1">IF(T_Symbols[[#This Row],[Weighting]]&gt;0,RAND()/IF(T_Symbols[[#This Row],[Weighting]]="",1,T_Symbols[[#This Row],[Weighting]]),"")</f>
        <v>6.3686948543967059E-2</v>
      </c>
      <c r="I126" s="12">
        <v>31</v>
      </c>
      <c r="J126" s="13" t="s">
        <v>373</v>
      </c>
      <c r="K126" s="12" t="s">
        <v>374</v>
      </c>
      <c r="L126" s="13" t="s">
        <v>709</v>
      </c>
      <c r="M126" s="12" t="str">
        <f ca="1">IF(T_MP3s[[#This Row],[ID]]=$G$3,RAND(),"")</f>
        <v/>
      </c>
    </row>
    <row r="127" spans="1:13" x14ac:dyDescent="0.25">
      <c r="A127" s="12">
        <v>126</v>
      </c>
      <c r="B127" s="12" t="s">
        <v>307</v>
      </c>
      <c r="C127" s="13" t="s">
        <v>130</v>
      </c>
      <c r="D127" s="14">
        <f>IF(Symbols!X21=1,IF(Symbols!Y21="",1,Symbols!Y21),0)</f>
        <v>1</v>
      </c>
      <c r="E127" s="12">
        <f ca="1">IF(T_Symbols[[#This Row],[Weighting]]&gt;0,RAND()/IF(T_Symbols[[#This Row],[Weighting]]="",1,T_Symbols[[#This Row],[Weighting]]),"")</f>
        <v>4.2964180519180606E-2</v>
      </c>
      <c r="I127" s="12">
        <v>31</v>
      </c>
      <c r="J127" s="13" t="s">
        <v>392</v>
      </c>
      <c r="K127" s="12" t="s">
        <v>374</v>
      </c>
      <c r="L127" s="13" t="s">
        <v>412</v>
      </c>
      <c r="M127" s="12" t="str">
        <f ca="1">IF(T_MP3s[[#This Row],[ID]]=$G$3,RAND(),"")</f>
        <v/>
      </c>
    </row>
    <row r="128" spans="1:13" x14ac:dyDescent="0.25">
      <c r="A128" s="12">
        <v>127</v>
      </c>
      <c r="B128" s="12" t="s">
        <v>189</v>
      </c>
      <c r="C128" s="13" t="s">
        <v>131</v>
      </c>
      <c r="D128" s="14">
        <f>IF(Symbols!X22=1,IF(Symbols!Y22="",1,Symbols!Y22),0)</f>
        <v>1</v>
      </c>
      <c r="E128" s="12">
        <f ca="1">IF(T_Symbols[[#This Row],[Weighting]]&gt;0,RAND()/IF(T_Symbols[[#This Row],[Weighting]]="",1,T_Symbols[[#This Row],[Weighting]]),"")</f>
        <v>0.42064869102824332</v>
      </c>
      <c r="I128" s="12">
        <v>31</v>
      </c>
      <c r="J128" s="13" t="s">
        <v>376</v>
      </c>
      <c r="K128" s="12" t="s">
        <v>374</v>
      </c>
      <c r="L128" s="13" t="s">
        <v>986</v>
      </c>
      <c r="M128" s="12" t="str">
        <f ca="1">IF(T_MP3s[[#This Row],[ID]]=$G$3,RAND(),"")</f>
        <v/>
      </c>
    </row>
    <row r="129" spans="1:13" x14ac:dyDescent="0.25">
      <c r="A129" s="12">
        <v>128</v>
      </c>
      <c r="B129" s="12" t="s">
        <v>311</v>
      </c>
      <c r="C129" s="13" t="s">
        <v>132</v>
      </c>
      <c r="D129" s="14">
        <f>IF(Symbols!X23=1,IF(Symbols!Y23="",1,Symbols!Y23),0)</f>
        <v>1</v>
      </c>
      <c r="E129" s="12">
        <f ca="1">IF(T_Symbols[[#This Row],[Weighting]]&gt;0,RAND()/IF(T_Symbols[[#This Row],[Weighting]]="",1,T_Symbols[[#This Row],[Weighting]]),"")</f>
        <v>0.98521125380127827</v>
      </c>
      <c r="I129" s="12">
        <v>32</v>
      </c>
      <c r="J129" s="13" t="s">
        <v>378</v>
      </c>
      <c r="K129" s="12" t="s">
        <v>374</v>
      </c>
      <c r="L129" s="13" t="s">
        <v>576</v>
      </c>
      <c r="M129" s="12" t="str">
        <f ca="1">IF(T_MP3s[[#This Row],[ID]]=$G$3,RAND(),"")</f>
        <v/>
      </c>
    </row>
    <row r="130" spans="1:13" x14ac:dyDescent="0.25">
      <c r="A130" s="12">
        <v>129</v>
      </c>
      <c r="B130" s="12" t="s">
        <v>312</v>
      </c>
      <c r="C130" s="13" t="s">
        <v>133</v>
      </c>
      <c r="D130" s="14">
        <f>IF(Symbols!X24=1,IF(Symbols!Y24="",1,Symbols!Y24),0)</f>
        <v>1</v>
      </c>
      <c r="E130" s="12">
        <f ca="1">IF(T_Symbols[[#This Row],[Weighting]]&gt;0,RAND()/IF(T_Symbols[[#This Row],[Weighting]]="",1,T_Symbols[[#This Row],[Weighting]]),"")</f>
        <v>0.14960500841890778</v>
      </c>
      <c r="I130" s="12">
        <v>32</v>
      </c>
      <c r="J130" s="13" t="s">
        <v>373</v>
      </c>
      <c r="K130" s="12" t="s">
        <v>374</v>
      </c>
      <c r="L130" s="13" t="s">
        <v>962</v>
      </c>
      <c r="M130" s="12" t="str">
        <f ca="1">IF(T_MP3s[[#This Row],[ID]]=$G$3,RAND(),"")</f>
        <v/>
      </c>
    </row>
    <row r="131" spans="1:13" x14ac:dyDescent="0.25">
      <c r="A131" s="12">
        <v>130</v>
      </c>
      <c r="B131" s="12" t="s">
        <v>313</v>
      </c>
      <c r="C131" s="13" t="s">
        <v>134</v>
      </c>
      <c r="D131" s="14">
        <f>IF(Symbols!X25=1,IF(Symbols!Y25="",1,Symbols!Y25),0)</f>
        <v>1</v>
      </c>
      <c r="E131" s="12">
        <f ca="1">IF(T_Symbols[[#This Row],[Weighting]]&gt;0,RAND()/IF(T_Symbols[[#This Row],[Weighting]]="",1,T_Symbols[[#This Row],[Weighting]]),"")</f>
        <v>0.19766154260850133</v>
      </c>
      <c r="I131" s="12">
        <v>32</v>
      </c>
      <c r="J131" s="13" t="s">
        <v>392</v>
      </c>
      <c r="K131" s="12" t="s">
        <v>374</v>
      </c>
      <c r="L131" s="13" t="s">
        <v>575</v>
      </c>
      <c r="M131" s="12" t="str">
        <f ca="1">IF(T_MP3s[[#This Row],[ID]]=$G$3,RAND(),"")</f>
        <v/>
      </c>
    </row>
    <row r="132" spans="1:13" x14ac:dyDescent="0.25">
      <c r="A132" s="12">
        <v>131</v>
      </c>
      <c r="B132" s="12" t="s">
        <v>315</v>
      </c>
      <c r="C132" s="13" t="s">
        <v>135</v>
      </c>
      <c r="D132" s="14">
        <f>IF(Symbols!X26=1,IF(Symbols!Y26="",1,Symbols!Y26),0)</f>
        <v>1</v>
      </c>
      <c r="E132" s="12">
        <f ca="1">IF(T_Symbols[[#This Row],[Weighting]]&gt;0,RAND()/IF(T_Symbols[[#This Row],[Weighting]]="",1,T_Symbols[[#This Row],[Weighting]]),"")</f>
        <v>0.8319283305430849</v>
      </c>
      <c r="I132" s="12">
        <v>32</v>
      </c>
      <c r="J132" s="13" t="s">
        <v>376</v>
      </c>
      <c r="K132" s="12" t="s">
        <v>374</v>
      </c>
      <c r="L132" s="13" t="s">
        <v>981</v>
      </c>
      <c r="M132" s="12" t="str">
        <f ca="1">IF(T_MP3s[[#This Row],[ID]]=$G$3,RAND(),"")</f>
        <v/>
      </c>
    </row>
    <row r="133" spans="1:13" x14ac:dyDescent="0.25">
      <c r="A133" s="12">
        <v>132</v>
      </c>
      <c r="B133" s="12" t="s">
        <v>317</v>
      </c>
      <c r="C133" s="13" t="s">
        <v>136</v>
      </c>
      <c r="D133" s="14">
        <f>IF(Symbols!X27=1,IF(Symbols!Y27="",1,Symbols!Y27),0)</f>
        <v>1</v>
      </c>
      <c r="E133" s="12">
        <f ca="1">IF(T_Symbols[[#This Row],[Weighting]]&gt;0,RAND()/IF(T_Symbols[[#This Row],[Weighting]]="",1,T_Symbols[[#This Row],[Weighting]]),"")</f>
        <v>0.32946539664671293</v>
      </c>
      <c r="I133" s="12">
        <v>34</v>
      </c>
      <c r="J133" s="13" t="s">
        <v>378</v>
      </c>
      <c r="K133" s="12" t="s">
        <v>374</v>
      </c>
      <c r="L133" s="13" t="s">
        <v>842</v>
      </c>
      <c r="M133" s="12" t="str">
        <f ca="1">IF(T_MP3s[[#This Row],[ID]]=$G$3,RAND(),"")</f>
        <v/>
      </c>
    </row>
    <row r="134" spans="1:13" x14ac:dyDescent="0.25">
      <c r="A134" s="12">
        <v>133</v>
      </c>
      <c r="B134" s="12" t="s">
        <v>318</v>
      </c>
      <c r="C134" s="13" t="s">
        <v>137</v>
      </c>
      <c r="D134" s="14">
        <f>IF(Symbols!X28=1,IF(Symbols!Y28="",1,Symbols!Y28),0)</f>
        <v>1</v>
      </c>
      <c r="E134" s="12">
        <f ca="1">IF(T_Symbols[[#This Row],[Weighting]]&gt;0,RAND()/IF(T_Symbols[[#This Row],[Weighting]]="",1,T_Symbols[[#This Row],[Weighting]]),"")</f>
        <v>0.4181431329596853</v>
      </c>
      <c r="I134" s="12">
        <v>34</v>
      </c>
      <c r="J134" s="13" t="s">
        <v>373</v>
      </c>
      <c r="K134" s="12" t="s">
        <v>374</v>
      </c>
      <c r="L134" s="13" t="s">
        <v>891</v>
      </c>
      <c r="M134" s="12" t="str">
        <f ca="1">IF(T_MP3s[[#This Row],[ID]]=$G$3,RAND(),"")</f>
        <v/>
      </c>
    </row>
    <row r="135" spans="1:13" x14ac:dyDescent="0.25">
      <c r="A135" s="12">
        <v>134</v>
      </c>
      <c r="B135" s="12" t="s">
        <v>320</v>
      </c>
      <c r="C135" s="13" t="s">
        <v>138</v>
      </c>
      <c r="D135" s="14">
        <f>IF(Symbols!X29=1,IF(Symbols!Y29="",1,Symbols!Y29),0)</f>
        <v>1</v>
      </c>
      <c r="E135" s="12">
        <f ca="1">IF(T_Symbols[[#This Row],[Weighting]]&gt;0,RAND()/IF(T_Symbols[[#This Row],[Weighting]]="",1,T_Symbols[[#This Row],[Weighting]]),"")</f>
        <v>0.84454302395290004</v>
      </c>
      <c r="I135" s="12">
        <v>34</v>
      </c>
      <c r="J135" s="13" t="s">
        <v>392</v>
      </c>
      <c r="K135" s="12" t="s">
        <v>374</v>
      </c>
      <c r="L135" s="13" t="s">
        <v>661</v>
      </c>
      <c r="M135" s="12" t="str">
        <f ca="1">IF(T_MP3s[[#This Row],[ID]]=$G$3,RAND(),"")</f>
        <v/>
      </c>
    </row>
    <row r="136" spans="1:13" x14ac:dyDescent="0.25">
      <c r="A136" s="12">
        <v>135</v>
      </c>
      <c r="B136" s="12" t="s">
        <v>322</v>
      </c>
      <c r="C136" s="13" t="s">
        <v>139</v>
      </c>
      <c r="D136" s="14">
        <f>IF(Symbols!X30=1,IF(Symbols!Y30="",1,Symbols!Y30),0)</f>
        <v>1</v>
      </c>
      <c r="E136" s="12">
        <f ca="1">IF(T_Symbols[[#This Row],[Weighting]]&gt;0,RAND()/IF(T_Symbols[[#This Row],[Weighting]]="",1,T_Symbols[[#This Row],[Weighting]]),"")</f>
        <v>0.10477670349694146</v>
      </c>
      <c r="I136" s="12">
        <v>34</v>
      </c>
      <c r="J136" s="13" t="s">
        <v>376</v>
      </c>
      <c r="K136" s="12" t="s">
        <v>374</v>
      </c>
      <c r="L136" s="13" t="s">
        <v>846</v>
      </c>
      <c r="M136" s="12" t="str">
        <f ca="1">IF(T_MP3s[[#This Row],[ID]]=$G$3,RAND(),"")</f>
        <v/>
      </c>
    </row>
    <row r="137" spans="1:13" x14ac:dyDescent="0.25">
      <c r="A137" s="12">
        <v>136</v>
      </c>
      <c r="B137" s="12" t="s">
        <v>323</v>
      </c>
      <c r="C137" s="13" t="s">
        <v>140</v>
      </c>
      <c r="D137" s="14">
        <f>IF(Symbols!X31=1,IF(Symbols!Y31="",1,Symbols!Y31),0)</f>
        <v>1</v>
      </c>
      <c r="E137" s="12">
        <f ca="1">IF(T_Symbols[[#This Row],[Weighting]]&gt;0,RAND()/IF(T_Symbols[[#This Row],[Weighting]]="",1,T_Symbols[[#This Row],[Weighting]]),"")</f>
        <v>0.42396471548622505</v>
      </c>
      <c r="I137" s="12">
        <v>35</v>
      </c>
      <c r="J137" s="13" t="s">
        <v>378</v>
      </c>
      <c r="K137" s="12" t="s">
        <v>374</v>
      </c>
      <c r="L137" s="13" t="s">
        <v>629</v>
      </c>
      <c r="M137" s="12" t="str">
        <f ca="1">IF(T_MP3s[[#This Row],[ID]]=$G$3,RAND(),"")</f>
        <v/>
      </c>
    </row>
    <row r="138" spans="1:13" x14ac:dyDescent="0.25">
      <c r="A138" s="12">
        <v>137</v>
      </c>
      <c r="B138" s="12" t="s">
        <v>325</v>
      </c>
      <c r="C138" s="13" t="s">
        <v>141</v>
      </c>
      <c r="D138" s="14">
        <f>IF(Symbols!X32=1,IF(Symbols!Y32="",1,Symbols!Y32),0)</f>
        <v>1</v>
      </c>
      <c r="E138" s="12">
        <f ca="1">IF(T_Symbols[[#This Row],[Weighting]]&gt;0,RAND()/IF(T_Symbols[[#This Row],[Weighting]]="",1,T_Symbols[[#This Row],[Weighting]]),"")</f>
        <v>0.37743699908986095</v>
      </c>
      <c r="I138" s="12">
        <v>35</v>
      </c>
      <c r="J138" s="13" t="s">
        <v>373</v>
      </c>
      <c r="K138" s="12" t="s">
        <v>374</v>
      </c>
      <c r="L138" s="13" t="s">
        <v>799</v>
      </c>
      <c r="M138" s="12" t="str">
        <f ca="1">IF(T_MP3s[[#This Row],[ID]]=$G$3,RAND(),"")</f>
        <v/>
      </c>
    </row>
    <row r="139" spans="1:13" x14ac:dyDescent="0.25">
      <c r="A139" s="12">
        <v>138</v>
      </c>
      <c r="B139" s="12" t="s">
        <v>326</v>
      </c>
      <c r="C139" s="13" t="s">
        <v>142</v>
      </c>
      <c r="D139" s="14">
        <f>IF(Symbols!X33=1,IF(Symbols!Y33="",1,Symbols!Y33),0)</f>
        <v>1</v>
      </c>
      <c r="E139" s="12">
        <f ca="1">IF(T_Symbols[[#This Row],[Weighting]]&gt;0,RAND()/IF(T_Symbols[[#This Row],[Weighting]]="",1,T_Symbols[[#This Row],[Weighting]]),"")</f>
        <v>0.58152162333941759</v>
      </c>
      <c r="I139" s="12">
        <v>35</v>
      </c>
      <c r="J139" s="13" t="s">
        <v>392</v>
      </c>
      <c r="K139" s="12" t="s">
        <v>374</v>
      </c>
      <c r="L139" s="13" t="s">
        <v>582</v>
      </c>
      <c r="M139" s="12" t="str">
        <f ca="1">IF(T_MP3s[[#This Row],[ID]]=$G$3,RAND(),"")</f>
        <v/>
      </c>
    </row>
    <row r="140" spans="1:13" x14ac:dyDescent="0.25">
      <c r="A140" s="12">
        <v>139</v>
      </c>
      <c r="B140" s="12" t="s">
        <v>327</v>
      </c>
      <c r="C140" s="13" t="s">
        <v>143</v>
      </c>
      <c r="D140" s="14">
        <f>IF(Symbols!X34=1,IF(Symbols!Y34="",1,Symbols!Y34),0)</f>
        <v>1</v>
      </c>
      <c r="E140" s="12">
        <f ca="1">IF(T_Symbols[[#This Row],[Weighting]]&gt;0,RAND()/IF(T_Symbols[[#This Row],[Weighting]]="",1,T_Symbols[[#This Row],[Weighting]]),"")</f>
        <v>0.56225690071957757</v>
      </c>
      <c r="I140" s="12">
        <v>35</v>
      </c>
      <c r="J140" s="13" t="s">
        <v>376</v>
      </c>
      <c r="K140" s="12" t="s">
        <v>374</v>
      </c>
      <c r="L140" s="13" t="s">
        <v>771</v>
      </c>
      <c r="M140" s="12" t="str">
        <f ca="1">IF(T_MP3s[[#This Row],[ID]]=$G$3,RAND(),"")</f>
        <v/>
      </c>
    </row>
    <row r="141" spans="1:13" x14ac:dyDescent="0.25">
      <c r="A141" s="12">
        <v>140</v>
      </c>
      <c r="B141" s="12" t="s">
        <v>328</v>
      </c>
      <c r="C141" s="13" t="s">
        <v>144</v>
      </c>
      <c r="D141" s="14">
        <f>IF(Symbols!X35=1,IF(Symbols!Y35="",1,Symbols!Y35),0)</f>
        <v>1</v>
      </c>
      <c r="E141" s="12">
        <f ca="1">IF(T_Symbols[[#This Row],[Weighting]]&gt;0,RAND()/IF(T_Symbols[[#This Row],[Weighting]]="",1,T_Symbols[[#This Row],[Weighting]]),"")</f>
        <v>0.34437345174537515</v>
      </c>
      <c r="I141" s="12">
        <v>36</v>
      </c>
      <c r="J141" s="13" t="s">
        <v>378</v>
      </c>
      <c r="K141" s="12" t="s">
        <v>374</v>
      </c>
      <c r="L141" s="13" t="s">
        <v>892</v>
      </c>
      <c r="M141" s="12" t="str">
        <f ca="1">IF(T_MP3s[[#This Row],[ID]]=$G$3,RAND(),"")</f>
        <v/>
      </c>
    </row>
    <row r="142" spans="1:13" x14ac:dyDescent="0.25">
      <c r="A142" s="12">
        <v>141</v>
      </c>
      <c r="B142" s="12" t="s">
        <v>329</v>
      </c>
      <c r="C142" s="13" t="s">
        <v>145</v>
      </c>
      <c r="D142" s="14">
        <f>IF(Symbols!X36=1,IF(Symbols!Y36="",1,Symbols!Y36),0)</f>
        <v>1</v>
      </c>
      <c r="E142" s="12">
        <f ca="1">IF(T_Symbols[[#This Row],[Weighting]]&gt;0,RAND()/IF(T_Symbols[[#This Row],[Weighting]]="",1,T_Symbols[[#This Row],[Weighting]]),"")</f>
        <v>2.3003008736031449E-2</v>
      </c>
      <c r="I142" s="12">
        <v>36</v>
      </c>
      <c r="J142" s="13" t="s">
        <v>373</v>
      </c>
      <c r="K142" s="12" t="s">
        <v>374</v>
      </c>
      <c r="L142" s="13" t="s">
        <v>912</v>
      </c>
      <c r="M142" s="12" t="str">
        <f ca="1">IF(T_MP3s[[#This Row],[ID]]=$G$3,RAND(),"")</f>
        <v/>
      </c>
    </row>
    <row r="143" spans="1:13" x14ac:dyDescent="0.25">
      <c r="A143" s="12">
        <v>142</v>
      </c>
      <c r="B143" s="12" t="s">
        <v>188</v>
      </c>
      <c r="C143" s="13" t="s">
        <v>146</v>
      </c>
      <c r="D143" s="14">
        <f>IF(Symbols!X37=1,IF(Symbols!Y37="",1,Symbols!Y37),0)</f>
        <v>1</v>
      </c>
      <c r="E143" s="12">
        <f ca="1">IF(T_Symbols[[#This Row],[Weighting]]&gt;0,RAND()/IF(T_Symbols[[#This Row],[Weighting]]="",1,T_Symbols[[#This Row],[Weighting]]),"")</f>
        <v>3.4776462675687125E-2</v>
      </c>
      <c r="I143" s="12">
        <v>36</v>
      </c>
      <c r="J143" s="13" t="s">
        <v>392</v>
      </c>
      <c r="K143" s="12" t="s">
        <v>374</v>
      </c>
      <c r="L143" s="13" t="s">
        <v>959</v>
      </c>
      <c r="M143" s="12" t="str">
        <f ca="1">IF(T_MP3s[[#This Row],[ID]]=$G$3,RAND(),"")</f>
        <v/>
      </c>
    </row>
    <row r="144" spans="1:13" x14ac:dyDescent="0.25">
      <c r="A144" s="12">
        <v>143</v>
      </c>
      <c r="B144" s="12" t="s">
        <v>330</v>
      </c>
      <c r="C144" s="13" t="s">
        <v>147</v>
      </c>
      <c r="D144" s="14">
        <f>IF(Symbols!X38=1,IF(Symbols!Y38="",1,Symbols!Y38),0)</f>
        <v>1</v>
      </c>
      <c r="E144" s="12">
        <f ca="1">IF(T_Symbols[[#This Row],[Weighting]]&gt;0,RAND()/IF(T_Symbols[[#This Row],[Weighting]]="",1,T_Symbols[[#This Row],[Weighting]]),"")</f>
        <v>0.34006596589518268</v>
      </c>
      <c r="I144" s="12">
        <v>36</v>
      </c>
      <c r="J144" s="13" t="s">
        <v>376</v>
      </c>
      <c r="K144" s="12" t="s">
        <v>374</v>
      </c>
      <c r="L144" s="13" t="s">
        <v>820</v>
      </c>
      <c r="M144" s="12" t="str">
        <f ca="1">IF(T_MP3s[[#This Row],[ID]]=$G$3,RAND(),"")</f>
        <v/>
      </c>
    </row>
    <row r="145" spans="1:13" x14ac:dyDescent="0.25">
      <c r="A145" s="12">
        <v>144</v>
      </c>
      <c r="B145" s="12" t="s">
        <v>331</v>
      </c>
      <c r="C145" s="13" t="s">
        <v>148</v>
      </c>
      <c r="D145" s="14">
        <f>IF(Symbols!X39=1,IF(Symbols!Y39="",1,Symbols!Y39),0)</f>
        <v>1</v>
      </c>
      <c r="E145" s="12">
        <f ca="1">IF(T_Symbols[[#This Row],[Weighting]]&gt;0,RAND()/IF(T_Symbols[[#This Row],[Weighting]]="",1,T_Symbols[[#This Row],[Weighting]]),"")</f>
        <v>0.54257386156386844</v>
      </c>
      <c r="I145" s="12">
        <v>37</v>
      </c>
      <c r="J145" s="13" t="s">
        <v>378</v>
      </c>
      <c r="K145" s="12" t="s">
        <v>374</v>
      </c>
      <c r="L145" s="13" t="s">
        <v>907</v>
      </c>
      <c r="M145" s="12" t="str">
        <f ca="1">IF(T_MP3s[[#This Row],[ID]]=$G$3,RAND(),"")</f>
        <v/>
      </c>
    </row>
    <row r="146" spans="1:13" x14ac:dyDescent="0.25">
      <c r="A146" s="12">
        <v>145</v>
      </c>
      <c r="B146" s="12" t="s">
        <v>332</v>
      </c>
      <c r="C146" s="13" t="s">
        <v>149</v>
      </c>
      <c r="D146" s="14">
        <f>IF(Symbols!X40=1,IF(Symbols!Y40="",1,Symbols!Y40),0)</f>
        <v>1</v>
      </c>
      <c r="E146" s="12">
        <f ca="1">IF(T_Symbols[[#This Row],[Weighting]]&gt;0,RAND()/IF(T_Symbols[[#This Row],[Weighting]]="",1,T_Symbols[[#This Row],[Weighting]]),"")</f>
        <v>0.39809822348662494</v>
      </c>
      <c r="I146" s="12">
        <v>37</v>
      </c>
      <c r="J146" s="13" t="s">
        <v>373</v>
      </c>
      <c r="K146" s="12" t="s">
        <v>374</v>
      </c>
      <c r="L146" s="13" t="s">
        <v>517</v>
      </c>
      <c r="M146" s="12" t="str">
        <f ca="1">IF(T_MP3s[[#This Row],[ID]]=$G$3,RAND(),"")</f>
        <v/>
      </c>
    </row>
    <row r="147" spans="1:13" x14ac:dyDescent="0.25">
      <c r="A147" s="12">
        <v>146</v>
      </c>
      <c r="B147" s="12" t="s">
        <v>196</v>
      </c>
      <c r="C147" s="13" t="s">
        <v>150</v>
      </c>
      <c r="D147" s="14">
        <f>IF(Symbols!AC13=1,IF(Symbols!AD13="",1,Symbols!AD13),0)</f>
        <v>1</v>
      </c>
      <c r="E147" s="12">
        <f ca="1">IF(T_Symbols[[#This Row],[Weighting]]&gt;0,RAND()/IF(T_Symbols[[#This Row],[Weighting]]="",1,T_Symbols[[#This Row],[Weighting]]),"")</f>
        <v>0.40251912925189137</v>
      </c>
      <c r="I147" s="12">
        <v>37</v>
      </c>
      <c r="J147" s="13" t="s">
        <v>392</v>
      </c>
      <c r="K147" s="12" t="s">
        <v>374</v>
      </c>
      <c r="L147" s="13" t="s">
        <v>801</v>
      </c>
      <c r="M147" s="12" t="str">
        <f ca="1">IF(T_MP3s[[#This Row],[ID]]=$G$3,RAND(),"")</f>
        <v/>
      </c>
    </row>
    <row r="148" spans="1:13" x14ac:dyDescent="0.25">
      <c r="A148" s="12">
        <v>147</v>
      </c>
      <c r="B148" s="12" t="s">
        <v>197</v>
      </c>
      <c r="C148" s="13" t="s">
        <v>151</v>
      </c>
      <c r="D148" s="14">
        <f>IF(Symbols!AC14=1,IF(Symbols!AD14="",1,Symbols!AD14),0)</f>
        <v>1</v>
      </c>
      <c r="E148" s="12">
        <f ca="1">IF(T_Symbols[[#This Row],[Weighting]]&gt;0,RAND()/IF(T_Symbols[[#This Row],[Weighting]]="",1,T_Symbols[[#This Row],[Weighting]]),"")</f>
        <v>0.86970390939128595</v>
      </c>
      <c r="I148" s="12">
        <v>37</v>
      </c>
      <c r="J148" s="13" t="s">
        <v>376</v>
      </c>
      <c r="K148" s="12" t="s">
        <v>374</v>
      </c>
      <c r="L148" s="13" t="s">
        <v>681</v>
      </c>
      <c r="M148" s="12" t="str">
        <f ca="1">IF(T_MP3s[[#This Row],[ID]]=$G$3,RAND(),"")</f>
        <v/>
      </c>
    </row>
    <row r="149" spans="1:13" x14ac:dyDescent="0.25">
      <c r="A149" s="12">
        <v>148</v>
      </c>
      <c r="B149" s="12" t="s">
        <v>198</v>
      </c>
      <c r="C149" s="13" t="s">
        <v>152</v>
      </c>
      <c r="D149" s="14">
        <f>IF(Symbols!AC15=1,IF(Symbols!AD15="",1,Symbols!AD15),0)</f>
        <v>1</v>
      </c>
      <c r="E149" s="12">
        <f ca="1">IF(T_Symbols[[#This Row],[Weighting]]&gt;0,RAND()/IF(T_Symbols[[#This Row],[Weighting]]="",1,T_Symbols[[#This Row],[Weighting]]),"")</f>
        <v>0.15502223140581894</v>
      </c>
      <c r="I149" s="12">
        <v>38</v>
      </c>
      <c r="J149" s="13" t="s">
        <v>378</v>
      </c>
      <c r="K149" s="12" t="s">
        <v>374</v>
      </c>
      <c r="L149" s="13" t="s">
        <v>729</v>
      </c>
      <c r="M149" s="12" t="str">
        <f ca="1">IF(T_MP3s[[#This Row],[ID]]=$G$3,RAND(),"")</f>
        <v/>
      </c>
    </row>
    <row r="150" spans="1:13" x14ac:dyDescent="0.25">
      <c r="A150" s="12">
        <v>149</v>
      </c>
      <c r="B150" s="12" t="s">
        <v>199</v>
      </c>
      <c r="C150" s="13" t="s">
        <v>153</v>
      </c>
      <c r="D150" s="14">
        <f>IF(Symbols!AC16=1,IF(Symbols!AD16="",1,Symbols!AD16),0)</f>
        <v>1</v>
      </c>
      <c r="E150" s="12">
        <f ca="1">IF(T_Symbols[[#This Row],[Weighting]]&gt;0,RAND()/IF(T_Symbols[[#This Row],[Weighting]]="",1,T_Symbols[[#This Row],[Weighting]]),"")</f>
        <v>0.55243382167838551</v>
      </c>
      <c r="I150" s="12">
        <v>38</v>
      </c>
      <c r="J150" s="13" t="s">
        <v>373</v>
      </c>
      <c r="K150" s="12" t="s">
        <v>374</v>
      </c>
      <c r="L150" s="13" t="s">
        <v>989</v>
      </c>
      <c r="M150" s="12" t="str">
        <f ca="1">IF(T_MP3s[[#This Row],[ID]]=$G$3,RAND(),"")</f>
        <v/>
      </c>
    </row>
    <row r="151" spans="1:13" x14ac:dyDescent="0.25">
      <c r="A151" s="12">
        <v>150</v>
      </c>
      <c r="B151" s="12" t="s">
        <v>203</v>
      </c>
      <c r="C151" s="13" t="s">
        <v>154</v>
      </c>
      <c r="D151" s="14">
        <f>IF(Symbols!AC17=1,IF(Symbols!AD17="",1,Symbols!AD17),0)</f>
        <v>1</v>
      </c>
      <c r="E151" s="12">
        <f ca="1">IF(T_Symbols[[#This Row],[Weighting]]&gt;0,RAND()/IF(T_Symbols[[#This Row],[Weighting]]="",1,T_Symbols[[#This Row],[Weighting]]),"")</f>
        <v>0.59775862248716949</v>
      </c>
      <c r="I151" s="12">
        <v>38</v>
      </c>
      <c r="J151" s="13" t="s">
        <v>392</v>
      </c>
      <c r="K151" s="12" t="s">
        <v>374</v>
      </c>
      <c r="L151" s="13" t="s">
        <v>393</v>
      </c>
      <c r="M151" s="12" t="str">
        <f ca="1">IF(T_MP3s[[#This Row],[ID]]=$G$3,RAND(),"")</f>
        <v/>
      </c>
    </row>
    <row r="152" spans="1:13" x14ac:dyDescent="0.25">
      <c r="A152" s="12">
        <v>151</v>
      </c>
      <c r="B152" s="12" t="s">
        <v>200</v>
      </c>
      <c r="C152" s="13" t="s">
        <v>155</v>
      </c>
      <c r="D152" s="14">
        <f>IF(Symbols!AC18=1,IF(Symbols!AD18="",1,Symbols!AD18),0)</f>
        <v>0</v>
      </c>
      <c r="E152" s="12" t="str">
        <f ca="1">IF(T_Symbols[[#This Row],[Weighting]]&gt;0,RAND()/IF(T_Symbols[[#This Row],[Weighting]]="",1,T_Symbols[[#This Row],[Weighting]]),"")</f>
        <v/>
      </c>
      <c r="I152" s="12">
        <v>38</v>
      </c>
      <c r="J152" s="13" t="s">
        <v>376</v>
      </c>
      <c r="K152" s="12" t="s">
        <v>374</v>
      </c>
      <c r="L152" s="13" t="s">
        <v>381</v>
      </c>
      <c r="M152" s="12" t="str">
        <f ca="1">IF(T_MP3s[[#This Row],[ID]]=$G$3,RAND(),"")</f>
        <v/>
      </c>
    </row>
    <row r="153" spans="1:13" x14ac:dyDescent="0.25">
      <c r="A153" s="12">
        <v>152</v>
      </c>
      <c r="B153" s="12" t="s">
        <v>201</v>
      </c>
      <c r="C153" s="13" t="s">
        <v>156</v>
      </c>
      <c r="D153" s="14">
        <f>IF(Symbols!AC19=1,IF(Symbols!AD19="",1,Symbols!AD19),0)</f>
        <v>0</v>
      </c>
      <c r="E153" s="12" t="str">
        <f ca="1">IF(T_Symbols[[#This Row],[Weighting]]&gt;0,RAND()/IF(T_Symbols[[#This Row],[Weighting]]="",1,T_Symbols[[#This Row],[Weighting]]),"")</f>
        <v/>
      </c>
      <c r="I153" s="12">
        <v>39</v>
      </c>
      <c r="J153" s="13" t="s">
        <v>378</v>
      </c>
      <c r="K153" s="12" t="s">
        <v>374</v>
      </c>
      <c r="L153" s="13" t="s">
        <v>796</v>
      </c>
      <c r="M153" s="12" t="str">
        <f ca="1">IF(T_MP3s[[#This Row],[ID]]=$G$3,RAND(),"")</f>
        <v/>
      </c>
    </row>
    <row r="154" spans="1:13" x14ac:dyDescent="0.25">
      <c r="A154" s="12">
        <v>153</v>
      </c>
      <c r="B154" s="12" t="s">
        <v>202</v>
      </c>
      <c r="C154" s="13" t="s">
        <v>157</v>
      </c>
      <c r="D154" s="14">
        <f>IF(Symbols!AC20=1,IF(Symbols!AD20="",1,Symbols!AD20),0)</f>
        <v>1</v>
      </c>
      <c r="E154" s="12">
        <f ca="1">IF(T_Symbols[[#This Row],[Weighting]]&gt;0,RAND()/IF(T_Symbols[[#This Row],[Weighting]]="",1,T_Symbols[[#This Row],[Weighting]]),"")</f>
        <v>0.89811938888328779</v>
      </c>
      <c r="I154" s="12">
        <v>39</v>
      </c>
      <c r="J154" s="13" t="s">
        <v>373</v>
      </c>
      <c r="K154" s="12" t="s">
        <v>374</v>
      </c>
      <c r="L154" s="13" t="s">
        <v>465</v>
      </c>
      <c r="M154" s="12" t="str">
        <f ca="1">IF(T_MP3s[[#This Row],[ID]]=$G$3,RAND(),"")</f>
        <v/>
      </c>
    </row>
    <row r="155" spans="1:13" x14ac:dyDescent="0.25">
      <c r="A155" s="12">
        <v>154</v>
      </c>
      <c r="B155" s="12" t="s">
        <v>359</v>
      </c>
      <c r="C155" s="13" t="s">
        <v>158</v>
      </c>
      <c r="D155" s="14">
        <f>IF(Symbols!AC21=1,IF(Symbols!AD21="",1,Symbols!AD21),0)</f>
        <v>0</v>
      </c>
      <c r="E155" s="12" t="str">
        <f ca="1">IF(T_Symbols[[#This Row],[Weighting]]&gt;0,RAND()/IF(T_Symbols[[#This Row],[Weighting]]="",1,T_Symbols[[#This Row],[Weighting]]),"")</f>
        <v/>
      </c>
      <c r="I155" s="12">
        <v>39</v>
      </c>
      <c r="J155" s="13" t="s">
        <v>392</v>
      </c>
      <c r="K155" s="12" t="s">
        <v>374</v>
      </c>
      <c r="L155" s="13" t="s">
        <v>598</v>
      </c>
      <c r="M155" s="12" t="str">
        <f ca="1">IF(T_MP3s[[#This Row],[ID]]=$G$3,RAND(),"")</f>
        <v/>
      </c>
    </row>
    <row r="156" spans="1:13" x14ac:dyDescent="0.25">
      <c r="A156" s="12">
        <v>155</v>
      </c>
      <c r="B156" s="12" t="s">
        <v>218</v>
      </c>
      <c r="C156" s="13" t="s">
        <v>159</v>
      </c>
      <c r="D156" s="14">
        <f>IF(Symbols!AH13=1,IF(Symbols!AI13="",1,Symbols!AI13),0)</f>
        <v>1</v>
      </c>
      <c r="E156" s="12">
        <f ca="1">IF(T_Symbols[[#This Row],[Weighting]]&gt;0,RAND()/IF(T_Symbols[[#This Row],[Weighting]]="",1,T_Symbols[[#This Row],[Weighting]]),"")</f>
        <v>0.3174192343203347</v>
      </c>
      <c r="I156" s="12">
        <v>39</v>
      </c>
      <c r="J156" s="13" t="s">
        <v>376</v>
      </c>
      <c r="K156" s="12" t="s">
        <v>374</v>
      </c>
      <c r="L156" s="13" t="s">
        <v>614</v>
      </c>
      <c r="M156" s="12" t="str">
        <f ca="1">IF(T_MP3s[[#This Row],[ID]]=$G$3,RAND(),"")</f>
        <v/>
      </c>
    </row>
    <row r="157" spans="1:13" x14ac:dyDescent="0.25">
      <c r="A157" s="12">
        <v>156</v>
      </c>
      <c r="B157" s="12" t="s">
        <v>204</v>
      </c>
      <c r="C157" s="13" t="s">
        <v>160</v>
      </c>
      <c r="D157" s="14">
        <f>IF(Symbols!AH14=1,IF(Symbols!AI14="",1,Symbols!AI14),0)</f>
        <v>0</v>
      </c>
      <c r="E157" s="12" t="str">
        <f ca="1">IF(T_Symbols[[#This Row],[Weighting]]&gt;0,RAND()/IF(T_Symbols[[#This Row],[Weighting]]="",1,T_Symbols[[#This Row],[Weighting]]),"")</f>
        <v/>
      </c>
      <c r="I157" s="12">
        <v>40</v>
      </c>
      <c r="J157" s="13" t="s">
        <v>378</v>
      </c>
      <c r="K157" s="12" t="s">
        <v>374</v>
      </c>
      <c r="L157" s="13" t="s">
        <v>751</v>
      </c>
      <c r="M157" s="12" t="str">
        <f ca="1">IF(T_MP3s[[#This Row],[ID]]=$G$3,RAND(),"")</f>
        <v/>
      </c>
    </row>
    <row r="158" spans="1:13" x14ac:dyDescent="0.25">
      <c r="A158" s="12">
        <v>157</v>
      </c>
      <c r="B158" s="12" t="s">
        <v>360</v>
      </c>
      <c r="C158" s="13" t="s">
        <v>161</v>
      </c>
      <c r="D158" s="14">
        <f>IF(Symbols!AH15=1,IF(Symbols!AI15="",1,Symbols!AI15),0)</f>
        <v>1</v>
      </c>
      <c r="E158" s="12">
        <f ca="1">IF(T_Symbols[[#This Row],[Weighting]]&gt;0,RAND()/IF(T_Symbols[[#This Row],[Weighting]]="",1,T_Symbols[[#This Row],[Weighting]]),"")</f>
        <v>0.91283674973349593</v>
      </c>
      <c r="I158" s="12">
        <v>40</v>
      </c>
      <c r="J158" s="13" t="s">
        <v>373</v>
      </c>
      <c r="K158" s="12" t="s">
        <v>374</v>
      </c>
      <c r="L158" s="13" t="s">
        <v>702</v>
      </c>
      <c r="M158" s="12" t="str">
        <f ca="1">IF(T_MP3s[[#This Row],[ID]]=$G$3,RAND(),"")</f>
        <v/>
      </c>
    </row>
    <row r="159" spans="1:13" x14ac:dyDescent="0.25">
      <c r="A159" s="12">
        <v>158</v>
      </c>
      <c r="B159" s="12" t="s">
        <v>205</v>
      </c>
      <c r="C159" s="13" t="s">
        <v>162</v>
      </c>
      <c r="D159" s="14">
        <f>IF(Symbols!AH16=1,IF(Symbols!AI16="",1,Symbols!AI16),0)</f>
        <v>0</v>
      </c>
      <c r="E159" s="12" t="str">
        <f ca="1">IF(T_Symbols[[#This Row],[Weighting]]&gt;0,RAND()/IF(T_Symbols[[#This Row],[Weighting]]="",1,T_Symbols[[#This Row],[Weighting]]),"")</f>
        <v/>
      </c>
      <c r="I159" s="12">
        <v>40</v>
      </c>
      <c r="J159" s="13" t="s">
        <v>392</v>
      </c>
      <c r="K159" s="12" t="s">
        <v>374</v>
      </c>
      <c r="L159" s="13" t="s">
        <v>998</v>
      </c>
      <c r="M159" s="12" t="str">
        <f ca="1">IF(T_MP3s[[#This Row],[ID]]=$G$3,RAND(),"")</f>
        <v/>
      </c>
    </row>
    <row r="160" spans="1:13" x14ac:dyDescent="0.25">
      <c r="A160" s="12">
        <v>159</v>
      </c>
      <c r="B160" s="12" t="s">
        <v>361</v>
      </c>
      <c r="C160" s="13" t="s">
        <v>163</v>
      </c>
      <c r="D160" s="14">
        <f>IF(Symbols!AH17=1,IF(Symbols!AI17="",1,Symbols!AI17),0)</f>
        <v>1</v>
      </c>
      <c r="E160" s="12">
        <f ca="1">IF(T_Symbols[[#This Row],[Weighting]]&gt;0,RAND()/IF(T_Symbols[[#This Row],[Weighting]]="",1,T_Symbols[[#This Row],[Weighting]]),"")</f>
        <v>0.12576630328197369</v>
      </c>
      <c r="I160" s="12">
        <v>40</v>
      </c>
      <c r="J160" s="13" t="s">
        <v>376</v>
      </c>
      <c r="K160" s="12" t="s">
        <v>374</v>
      </c>
      <c r="L160" s="13" t="s">
        <v>521</v>
      </c>
      <c r="M160" s="12" t="str">
        <f ca="1">IF(T_MP3s[[#This Row],[ID]]=$G$3,RAND(),"")</f>
        <v/>
      </c>
    </row>
    <row r="161" spans="1:13" x14ac:dyDescent="0.25">
      <c r="A161" s="12">
        <v>160</v>
      </c>
      <c r="B161" s="12" t="s">
        <v>206</v>
      </c>
      <c r="C161" s="13" t="s">
        <v>164</v>
      </c>
      <c r="D161" s="14">
        <f>IF(Symbols!AH18=1,IF(Symbols!AI18="",1,Symbols!AI18),0)</f>
        <v>0</v>
      </c>
      <c r="E161" s="12" t="str">
        <f ca="1">IF(T_Symbols[[#This Row],[Weighting]]&gt;0,RAND()/IF(T_Symbols[[#This Row],[Weighting]]="",1,T_Symbols[[#This Row],[Weighting]]),"")</f>
        <v/>
      </c>
      <c r="I161" s="12">
        <v>41</v>
      </c>
      <c r="J161" s="13" t="s">
        <v>378</v>
      </c>
      <c r="K161" s="12" t="s">
        <v>374</v>
      </c>
      <c r="L161" s="13" t="s">
        <v>469</v>
      </c>
      <c r="M161" s="12" t="str">
        <f ca="1">IF(T_MP3s[[#This Row],[ID]]=$G$3,RAND(),"")</f>
        <v/>
      </c>
    </row>
    <row r="162" spans="1:13" x14ac:dyDescent="0.25">
      <c r="A162" s="12">
        <v>161</v>
      </c>
      <c r="B162" s="12" t="s">
        <v>362</v>
      </c>
      <c r="C162" s="13" t="s">
        <v>165</v>
      </c>
      <c r="D162" s="14">
        <f>IF(Symbols!AH19=1,IF(Symbols!AI19="",1,Symbols!AI19),0)</f>
        <v>1</v>
      </c>
      <c r="E162" s="12">
        <f ca="1">IF(T_Symbols[[#This Row],[Weighting]]&gt;0,RAND()/IF(T_Symbols[[#This Row],[Weighting]]="",1,T_Symbols[[#This Row],[Weighting]]),"")</f>
        <v>0.98695628731004825</v>
      </c>
      <c r="I162" s="12">
        <v>41</v>
      </c>
      <c r="J162" s="13" t="s">
        <v>373</v>
      </c>
      <c r="K162" s="12" t="s">
        <v>374</v>
      </c>
      <c r="L162" s="13" t="s">
        <v>441</v>
      </c>
      <c r="M162" s="12" t="str">
        <f ca="1">IF(T_MP3s[[#This Row],[ID]]=$G$3,RAND(),"")</f>
        <v/>
      </c>
    </row>
    <row r="163" spans="1:13" x14ac:dyDescent="0.25">
      <c r="A163" s="12">
        <v>162</v>
      </c>
      <c r="B163" s="12" t="s">
        <v>207</v>
      </c>
      <c r="C163" s="13" t="s">
        <v>166</v>
      </c>
      <c r="D163" s="14">
        <f>IF(Symbols!AH20=1,IF(Symbols!AI20="",1,Symbols!AI20),0)</f>
        <v>0</v>
      </c>
      <c r="E163" s="12" t="str">
        <f ca="1">IF(T_Symbols[[#This Row],[Weighting]]&gt;0,RAND()/IF(T_Symbols[[#This Row],[Weighting]]="",1,T_Symbols[[#This Row],[Weighting]]),"")</f>
        <v/>
      </c>
      <c r="I163" s="12">
        <v>41</v>
      </c>
      <c r="J163" s="13" t="s">
        <v>392</v>
      </c>
      <c r="K163" s="12" t="s">
        <v>374</v>
      </c>
      <c r="L163" s="13" t="s">
        <v>436</v>
      </c>
      <c r="M163" s="12" t="str">
        <f ca="1">IF(T_MP3s[[#This Row],[ID]]=$G$3,RAND(),"")</f>
        <v/>
      </c>
    </row>
    <row r="164" spans="1:13" x14ac:dyDescent="0.25">
      <c r="A164" s="12">
        <v>163</v>
      </c>
      <c r="B164" s="12" t="s">
        <v>363</v>
      </c>
      <c r="C164" s="13" t="s">
        <v>167</v>
      </c>
      <c r="D164" s="14">
        <f>IF(Symbols!AH21=1,IF(Symbols!AI21="",1,Symbols!AI21),0)</f>
        <v>1</v>
      </c>
      <c r="E164" s="12">
        <f ca="1">IF(T_Symbols[[#This Row],[Weighting]]&gt;0,RAND()/IF(T_Symbols[[#This Row],[Weighting]]="",1,T_Symbols[[#This Row],[Weighting]]),"")</f>
        <v>0.6705422383048224</v>
      </c>
      <c r="I164" s="12">
        <v>41</v>
      </c>
      <c r="J164" s="13" t="s">
        <v>376</v>
      </c>
      <c r="K164" s="12" t="s">
        <v>374</v>
      </c>
      <c r="L164" s="13" t="s">
        <v>388</v>
      </c>
      <c r="M164" s="12" t="str">
        <f ca="1">IF(T_MP3s[[#This Row],[ID]]=$G$3,RAND(),"")</f>
        <v/>
      </c>
    </row>
    <row r="165" spans="1:13" x14ac:dyDescent="0.25">
      <c r="A165" s="12">
        <v>164</v>
      </c>
      <c r="B165" s="12" t="s">
        <v>208</v>
      </c>
      <c r="C165" s="13" t="s">
        <v>168</v>
      </c>
      <c r="D165" s="14">
        <f>IF(Symbols!AH22=1,IF(Symbols!AI22="",1,Symbols!AI22),0)</f>
        <v>0</v>
      </c>
      <c r="E165" s="12" t="str">
        <f ca="1">IF(T_Symbols[[#This Row],[Weighting]]&gt;0,RAND()/IF(T_Symbols[[#This Row],[Weighting]]="",1,T_Symbols[[#This Row],[Weighting]]),"")</f>
        <v/>
      </c>
      <c r="I165" s="12">
        <v>42</v>
      </c>
      <c r="J165" s="13" t="s">
        <v>378</v>
      </c>
      <c r="K165" s="12" t="s">
        <v>374</v>
      </c>
      <c r="L165" s="13" t="s">
        <v>438</v>
      </c>
      <c r="M165" s="12" t="str">
        <f ca="1">IF(T_MP3s[[#This Row],[ID]]=$G$3,RAND(),"")</f>
        <v/>
      </c>
    </row>
    <row r="166" spans="1:13" x14ac:dyDescent="0.25">
      <c r="A166" s="12">
        <v>165</v>
      </c>
      <c r="B166" s="12" t="s">
        <v>364</v>
      </c>
      <c r="C166" s="13" t="s">
        <v>169</v>
      </c>
      <c r="D166" s="14">
        <f>IF(Symbols!AH23=1,IF(Symbols!AI23="",1,Symbols!AI23),0)</f>
        <v>1</v>
      </c>
      <c r="E166" s="12">
        <f ca="1">IF(T_Symbols[[#This Row],[Weighting]]&gt;0,RAND()/IF(T_Symbols[[#This Row],[Weighting]]="",1,T_Symbols[[#This Row],[Weighting]]),"")</f>
        <v>1.6963028305294281E-2</v>
      </c>
      <c r="I166" s="12">
        <v>42</v>
      </c>
      <c r="J166" s="13" t="s">
        <v>373</v>
      </c>
      <c r="K166" s="12" t="s">
        <v>374</v>
      </c>
      <c r="L166" s="13" t="s">
        <v>964</v>
      </c>
      <c r="M166" s="12" t="str">
        <f ca="1">IF(T_MP3s[[#This Row],[ID]]=$G$3,RAND(),"")</f>
        <v/>
      </c>
    </row>
    <row r="167" spans="1:13" x14ac:dyDescent="0.25">
      <c r="A167" s="12">
        <v>166</v>
      </c>
      <c r="B167" s="12" t="s">
        <v>209</v>
      </c>
      <c r="C167" s="13" t="s">
        <v>170</v>
      </c>
      <c r="D167" s="14">
        <f>IF(Symbols!AH24=1,IF(Symbols!AI24="",1,Symbols!AI24),0)</f>
        <v>0</v>
      </c>
      <c r="E167" s="12" t="str">
        <f ca="1">IF(T_Symbols[[#This Row],[Weighting]]&gt;0,RAND()/IF(T_Symbols[[#This Row],[Weighting]]="",1,T_Symbols[[#This Row],[Weighting]]),"")</f>
        <v/>
      </c>
      <c r="I167" s="12">
        <v>42</v>
      </c>
      <c r="J167" s="13" t="s">
        <v>392</v>
      </c>
      <c r="K167" s="12" t="s">
        <v>374</v>
      </c>
      <c r="L167" s="13" t="s">
        <v>413</v>
      </c>
      <c r="M167" s="12" t="str">
        <f ca="1">IF(T_MP3s[[#This Row],[ID]]=$G$3,RAND(),"")</f>
        <v/>
      </c>
    </row>
    <row r="168" spans="1:13" x14ac:dyDescent="0.25">
      <c r="A168" s="12">
        <v>167</v>
      </c>
      <c r="B168" s="12" t="s">
        <v>365</v>
      </c>
      <c r="C168" s="13" t="s">
        <v>171</v>
      </c>
      <c r="D168" s="14">
        <f>IF(Symbols!AH25=1,IF(Symbols!AI25="",1,Symbols!AI25),0)</f>
        <v>1</v>
      </c>
      <c r="E168" s="12">
        <f ca="1">IF(T_Symbols[[#This Row],[Weighting]]&gt;0,RAND()/IF(T_Symbols[[#This Row],[Weighting]]="",1,T_Symbols[[#This Row],[Weighting]]),"")</f>
        <v>0.56393728060558201</v>
      </c>
      <c r="I168" s="12">
        <v>42</v>
      </c>
      <c r="J168" s="13" t="s">
        <v>376</v>
      </c>
      <c r="K168" s="12" t="s">
        <v>374</v>
      </c>
      <c r="L168" s="13" t="s">
        <v>673</v>
      </c>
      <c r="M168" s="12" t="str">
        <f ca="1">IF(T_MP3s[[#This Row],[ID]]=$G$3,RAND(),"")</f>
        <v/>
      </c>
    </row>
    <row r="169" spans="1:13" x14ac:dyDescent="0.25">
      <c r="A169" s="12">
        <v>168</v>
      </c>
      <c r="B169" s="12" t="s">
        <v>210</v>
      </c>
      <c r="C169" s="13" t="s">
        <v>172</v>
      </c>
      <c r="D169" s="14">
        <f>IF(Symbols!AH26=1,IF(Symbols!AI26="",1,Symbols!AI26),0)</f>
        <v>0</v>
      </c>
      <c r="E169" s="12" t="str">
        <f ca="1">IF(T_Symbols[[#This Row],[Weighting]]&gt;0,RAND()/IF(T_Symbols[[#This Row],[Weighting]]="",1,T_Symbols[[#This Row],[Weighting]]),"")</f>
        <v/>
      </c>
      <c r="I169" s="12">
        <v>43</v>
      </c>
      <c r="J169" s="13" t="s">
        <v>378</v>
      </c>
      <c r="K169" s="12" t="s">
        <v>374</v>
      </c>
      <c r="L169" s="13" t="s">
        <v>697</v>
      </c>
      <c r="M169" s="12" t="str">
        <f ca="1">IF(T_MP3s[[#This Row],[ID]]=$G$3,RAND(),"")</f>
        <v/>
      </c>
    </row>
    <row r="170" spans="1:13" x14ac:dyDescent="0.25">
      <c r="A170" s="12">
        <v>169</v>
      </c>
      <c r="B170" s="12" t="s">
        <v>366</v>
      </c>
      <c r="C170" s="13" t="s">
        <v>173</v>
      </c>
      <c r="D170" s="14">
        <f>IF(Symbols!AH27=1,IF(Symbols!AI27="",1,Symbols!AI27),0)</f>
        <v>1</v>
      </c>
      <c r="E170" s="12">
        <f ca="1">IF(T_Symbols[[#This Row],[Weighting]]&gt;0,RAND()/IF(T_Symbols[[#This Row],[Weighting]]="",1,T_Symbols[[#This Row],[Weighting]]),"")</f>
        <v>0.69750516078185842</v>
      </c>
      <c r="I170" s="12">
        <v>43</v>
      </c>
      <c r="J170" s="13" t="s">
        <v>373</v>
      </c>
      <c r="K170" s="12" t="s">
        <v>374</v>
      </c>
      <c r="L170" s="13" t="s">
        <v>651</v>
      </c>
      <c r="M170" s="12" t="str">
        <f ca="1">IF(T_MP3s[[#This Row],[ID]]=$G$3,RAND(),"")</f>
        <v/>
      </c>
    </row>
    <row r="171" spans="1:13" x14ac:dyDescent="0.25">
      <c r="A171" s="12">
        <v>170</v>
      </c>
      <c r="B171" s="12" t="s">
        <v>211</v>
      </c>
      <c r="C171" s="13" t="s">
        <v>174</v>
      </c>
      <c r="D171" s="14">
        <f>IF(Symbols!AH28=1,IF(Symbols!AI28="",1,Symbols!AI28),0)</f>
        <v>0</v>
      </c>
      <c r="E171" s="12" t="str">
        <f ca="1">IF(T_Symbols[[#This Row],[Weighting]]&gt;0,RAND()/IF(T_Symbols[[#This Row],[Weighting]]="",1,T_Symbols[[#This Row],[Weighting]]),"")</f>
        <v/>
      </c>
      <c r="I171" s="12">
        <v>43</v>
      </c>
      <c r="J171" s="13" t="s">
        <v>392</v>
      </c>
      <c r="K171" s="12" t="s">
        <v>374</v>
      </c>
      <c r="L171" s="13" t="s">
        <v>745</v>
      </c>
      <c r="M171" s="12" t="str">
        <f ca="1">IF(T_MP3s[[#This Row],[ID]]=$G$3,RAND(),"")</f>
        <v/>
      </c>
    </row>
    <row r="172" spans="1:13" x14ac:dyDescent="0.25">
      <c r="A172" s="12">
        <v>171</v>
      </c>
      <c r="B172" s="12" t="s">
        <v>367</v>
      </c>
      <c r="C172" s="13" t="s">
        <v>175</v>
      </c>
      <c r="D172" s="14">
        <f>IF(Symbols!AH29=1,IF(Symbols!AI29="",1,Symbols!AI29),0)</f>
        <v>1</v>
      </c>
      <c r="E172" s="12">
        <f ca="1">IF(T_Symbols[[#This Row],[Weighting]]&gt;0,RAND()/IF(T_Symbols[[#This Row],[Weighting]]="",1,T_Symbols[[#This Row],[Weighting]]),"")</f>
        <v>9.545027539451989E-2</v>
      </c>
      <c r="I172" s="12">
        <v>43</v>
      </c>
      <c r="J172" s="13" t="s">
        <v>376</v>
      </c>
      <c r="K172" s="12" t="s">
        <v>374</v>
      </c>
      <c r="L172" s="13" t="s">
        <v>914</v>
      </c>
      <c r="M172" s="12" t="str">
        <f ca="1">IF(T_MP3s[[#This Row],[ID]]=$G$3,RAND(),"")</f>
        <v/>
      </c>
    </row>
    <row r="173" spans="1:13" x14ac:dyDescent="0.25">
      <c r="A173" s="12">
        <v>172</v>
      </c>
      <c r="B173" s="12" t="s">
        <v>212</v>
      </c>
      <c r="C173" s="13" t="s">
        <v>176</v>
      </c>
      <c r="D173" s="14">
        <f>IF(Symbols!AH30=1,IF(Symbols!AI30="",1,Symbols!AI30),0)</f>
        <v>0</v>
      </c>
      <c r="E173" s="12" t="str">
        <f ca="1">IF(T_Symbols[[#This Row],[Weighting]]&gt;0,RAND()/IF(T_Symbols[[#This Row],[Weighting]]="",1,T_Symbols[[#This Row],[Weighting]]),"")</f>
        <v/>
      </c>
      <c r="I173" s="12">
        <v>44</v>
      </c>
      <c r="J173" s="13" t="s">
        <v>378</v>
      </c>
      <c r="K173" s="12" t="s">
        <v>374</v>
      </c>
      <c r="L173" s="13" t="s">
        <v>726</v>
      </c>
      <c r="M173" s="12" t="str">
        <f ca="1">IF(T_MP3s[[#This Row],[ID]]=$G$3,RAND(),"")</f>
        <v/>
      </c>
    </row>
    <row r="174" spans="1:13" x14ac:dyDescent="0.25">
      <c r="A174" s="12">
        <v>173</v>
      </c>
      <c r="B174" s="12" t="s">
        <v>368</v>
      </c>
      <c r="C174" s="13" t="s">
        <v>177</v>
      </c>
      <c r="D174" s="14">
        <f>IF(Symbols!AH31=1,IF(Symbols!AI31="",1,Symbols!AI31),0)</f>
        <v>1</v>
      </c>
      <c r="E174" s="12">
        <f ca="1">IF(T_Symbols[[#This Row],[Weighting]]&gt;0,RAND()/IF(T_Symbols[[#This Row],[Weighting]]="",1,T_Symbols[[#This Row],[Weighting]]),"")</f>
        <v>0.39746233427567446</v>
      </c>
      <c r="I174" s="12">
        <v>44</v>
      </c>
      <c r="J174" s="13" t="s">
        <v>373</v>
      </c>
      <c r="K174" s="12" t="s">
        <v>374</v>
      </c>
      <c r="L174" s="13" t="s">
        <v>889</v>
      </c>
      <c r="M174" s="12" t="str">
        <f ca="1">IF(T_MP3s[[#This Row],[ID]]=$G$3,RAND(),"")</f>
        <v/>
      </c>
    </row>
    <row r="175" spans="1:13" x14ac:dyDescent="0.25">
      <c r="A175" s="12">
        <v>174</v>
      </c>
      <c r="B175" s="12" t="s">
        <v>213</v>
      </c>
      <c r="C175" s="13" t="s">
        <v>178</v>
      </c>
      <c r="D175" s="14">
        <f>IF(Symbols!AH32=1,IF(Symbols!AI32="",1,Symbols!AI32),0)</f>
        <v>0</v>
      </c>
      <c r="E175" s="12" t="str">
        <f ca="1">IF(T_Symbols[[#This Row],[Weighting]]&gt;0,RAND()/IF(T_Symbols[[#This Row],[Weighting]]="",1,T_Symbols[[#This Row],[Weighting]]),"")</f>
        <v/>
      </c>
      <c r="I175" s="12">
        <v>44</v>
      </c>
      <c r="J175" s="13" t="s">
        <v>392</v>
      </c>
      <c r="K175" s="12" t="s">
        <v>374</v>
      </c>
      <c r="L175" s="13" t="s">
        <v>620</v>
      </c>
      <c r="M175" s="12" t="str">
        <f ca="1">IF(T_MP3s[[#This Row],[ID]]=$G$3,RAND(),"")</f>
        <v/>
      </c>
    </row>
    <row r="176" spans="1:13" x14ac:dyDescent="0.25">
      <c r="A176" s="12">
        <v>175</v>
      </c>
      <c r="B176" s="12" t="s">
        <v>214</v>
      </c>
      <c r="C176" s="13" t="s">
        <v>179</v>
      </c>
      <c r="D176" s="14">
        <f>IF(Symbols!AH33=1,IF(Symbols!AI33="",1,Symbols!AI33),0)</f>
        <v>1</v>
      </c>
      <c r="E176" s="12">
        <f ca="1">IF(T_Symbols[[#This Row],[Weighting]]&gt;0,RAND()/IF(T_Symbols[[#This Row],[Weighting]]="",1,T_Symbols[[#This Row],[Weighting]]),"")</f>
        <v>0.97363548465746352</v>
      </c>
      <c r="I176" s="12">
        <v>44</v>
      </c>
      <c r="J176" s="13" t="s">
        <v>376</v>
      </c>
      <c r="K176" s="12" t="s">
        <v>374</v>
      </c>
      <c r="L176" s="13" t="s">
        <v>407</v>
      </c>
      <c r="M176" s="12" t="str">
        <f ca="1">IF(T_MP3s[[#This Row],[ID]]=$G$3,RAND(),"")</f>
        <v/>
      </c>
    </row>
    <row r="177" spans="1:13" x14ac:dyDescent="0.25">
      <c r="A177" s="12">
        <v>176</v>
      </c>
      <c r="B177" s="12" t="s">
        <v>215</v>
      </c>
      <c r="C177" s="13" t="s">
        <v>180</v>
      </c>
      <c r="D177" s="14">
        <f>IF(Symbols!AH34=1,IF(Symbols!AI34="",1,Symbols!AI34),0)</f>
        <v>1</v>
      </c>
      <c r="E177" s="12">
        <f ca="1">IF(T_Symbols[[#This Row],[Weighting]]&gt;0,RAND()/IF(T_Symbols[[#This Row],[Weighting]]="",1,T_Symbols[[#This Row],[Weighting]]),"")</f>
        <v>0.9076952993792593</v>
      </c>
      <c r="I177" s="12">
        <v>45</v>
      </c>
      <c r="J177" s="13" t="s">
        <v>378</v>
      </c>
      <c r="K177" s="12" t="s">
        <v>374</v>
      </c>
      <c r="L177" s="13" t="s">
        <v>803</v>
      </c>
      <c r="M177" s="12" t="str">
        <f ca="1">IF(T_MP3s[[#This Row],[ID]]=$G$3,RAND(),"")</f>
        <v/>
      </c>
    </row>
    <row r="178" spans="1:13" x14ac:dyDescent="0.25">
      <c r="A178" s="12">
        <v>177</v>
      </c>
      <c r="B178" s="12" t="s">
        <v>216</v>
      </c>
      <c r="C178" s="13" t="s">
        <v>181</v>
      </c>
      <c r="D178" s="14">
        <f>IF(Symbols!AH35=1,IF(Symbols!AI35="",1,Symbols!AI35),0)</f>
        <v>1</v>
      </c>
      <c r="E178" s="12">
        <f ca="1">IF(T_Symbols[[#This Row],[Weighting]]&gt;0,RAND()/IF(T_Symbols[[#This Row],[Weighting]]="",1,T_Symbols[[#This Row],[Weighting]]),"")</f>
        <v>0.84525723131214114</v>
      </c>
      <c r="I178" s="12">
        <v>45</v>
      </c>
      <c r="J178" s="13" t="s">
        <v>373</v>
      </c>
      <c r="K178" s="12" t="s">
        <v>374</v>
      </c>
      <c r="L178" s="13" t="s">
        <v>536</v>
      </c>
      <c r="M178" s="12" t="str">
        <f ca="1">IF(T_MP3s[[#This Row],[ID]]=$G$3,RAND(),"")</f>
        <v/>
      </c>
    </row>
    <row r="179" spans="1:13" x14ac:dyDescent="0.25">
      <c r="A179" s="12">
        <v>178</v>
      </c>
      <c r="B179" s="12" t="s">
        <v>217</v>
      </c>
      <c r="C179" s="13" t="s">
        <v>182</v>
      </c>
      <c r="D179" s="14">
        <f>IF(Symbols!AH36=1,IF(Symbols!AI36="",1,Symbols!AI36),0)</f>
        <v>1</v>
      </c>
      <c r="E179" s="12">
        <f ca="1">IF(T_Symbols[[#This Row],[Weighting]]&gt;0,RAND()/IF(T_Symbols[[#This Row],[Weighting]]="",1,T_Symbols[[#This Row],[Weighting]]),"")</f>
        <v>6.2303285553635623E-2</v>
      </c>
      <c r="I179" s="12">
        <v>45</v>
      </c>
      <c r="J179" s="13" t="s">
        <v>392</v>
      </c>
      <c r="K179" s="12" t="s">
        <v>374</v>
      </c>
      <c r="L179" s="13" t="s">
        <v>732</v>
      </c>
      <c r="M179" s="12" t="str">
        <f ca="1">IF(T_MP3s[[#This Row],[ID]]=$G$3,RAND(),"")</f>
        <v/>
      </c>
    </row>
    <row r="180" spans="1:13" x14ac:dyDescent="0.25">
      <c r="I180" s="12">
        <v>45</v>
      </c>
      <c r="J180" s="13" t="s">
        <v>376</v>
      </c>
      <c r="K180" s="12" t="s">
        <v>374</v>
      </c>
      <c r="L180" s="13" t="s">
        <v>871</v>
      </c>
      <c r="M180" s="12" t="str">
        <f ca="1">IF(T_MP3s[[#This Row],[ID]]=$G$3,RAND(),"")</f>
        <v/>
      </c>
    </row>
    <row r="181" spans="1:13" x14ac:dyDescent="0.25">
      <c r="I181" s="12">
        <v>46</v>
      </c>
      <c r="J181" s="13" t="s">
        <v>378</v>
      </c>
      <c r="K181" s="12" t="s">
        <v>374</v>
      </c>
      <c r="L181" s="13" t="s">
        <v>684</v>
      </c>
      <c r="M181" s="12" t="str">
        <f ca="1">IF(T_MP3s[[#This Row],[ID]]=$G$3,RAND(),"")</f>
        <v/>
      </c>
    </row>
    <row r="182" spans="1:13" x14ac:dyDescent="0.25">
      <c r="I182" s="12">
        <v>46</v>
      </c>
      <c r="J182" s="13" t="s">
        <v>373</v>
      </c>
      <c r="K182" s="12" t="s">
        <v>374</v>
      </c>
      <c r="L182" s="13" t="s">
        <v>555</v>
      </c>
      <c r="M182" s="12" t="str">
        <f ca="1">IF(T_MP3s[[#This Row],[ID]]=$G$3,RAND(),"")</f>
        <v/>
      </c>
    </row>
    <row r="183" spans="1:13" x14ac:dyDescent="0.25">
      <c r="I183" s="12">
        <v>46</v>
      </c>
      <c r="J183" s="13" t="s">
        <v>392</v>
      </c>
      <c r="K183" s="12" t="s">
        <v>374</v>
      </c>
      <c r="L183" s="13" t="s">
        <v>616</v>
      </c>
      <c r="M183" s="12" t="str">
        <f ca="1">IF(T_MP3s[[#This Row],[ID]]=$G$3,RAND(),"")</f>
        <v/>
      </c>
    </row>
    <row r="184" spans="1:13" x14ac:dyDescent="0.25">
      <c r="I184" s="12">
        <v>46</v>
      </c>
      <c r="J184" s="13" t="s">
        <v>376</v>
      </c>
      <c r="K184" s="12" t="s">
        <v>374</v>
      </c>
      <c r="L184" s="13" t="s">
        <v>642</v>
      </c>
      <c r="M184" s="12" t="str">
        <f ca="1">IF(T_MP3s[[#This Row],[ID]]=$G$3,RAND(),"")</f>
        <v/>
      </c>
    </row>
    <row r="185" spans="1:13" x14ac:dyDescent="0.25">
      <c r="I185" s="12">
        <v>47</v>
      </c>
      <c r="J185" s="13" t="s">
        <v>378</v>
      </c>
      <c r="K185" s="12" t="s">
        <v>374</v>
      </c>
      <c r="L185" s="13" t="s">
        <v>406</v>
      </c>
      <c r="M185" s="12" t="str">
        <f ca="1">IF(T_MP3s[[#This Row],[ID]]=$G$3,RAND(),"")</f>
        <v/>
      </c>
    </row>
    <row r="186" spans="1:13" x14ac:dyDescent="0.25">
      <c r="I186" s="12">
        <v>47</v>
      </c>
      <c r="J186" s="13" t="s">
        <v>373</v>
      </c>
      <c r="K186" s="12" t="s">
        <v>374</v>
      </c>
      <c r="L186" s="13" t="s">
        <v>789</v>
      </c>
      <c r="M186" s="12" t="str">
        <f ca="1">IF(T_MP3s[[#This Row],[ID]]=$G$3,RAND(),"")</f>
        <v/>
      </c>
    </row>
    <row r="187" spans="1:13" x14ac:dyDescent="0.25">
      <c r="I187" s="12">
        <v>47</v>
      </c>
      <c r="J187" s="13" t="s">
        <v>392</v>
      </c>
      <c r="K187" s="12" t="s">
        <v>374</v>
      </c>
      <c r="L187" s="13" t="s">
        <v>939</v>
      </c>
      <c r="M187" s="12" t="str">
        <f ca="1">IF(T_MP3s[[#This Row],[ID]]=$G$3,RAND(),"")</f>
        <v/>
      </c>
    </row>
    <row r="188" spans="1:13" x14ac:dyDescent="0.25">
      <c r="I188" s="12">
        <v>47</v>
      </c>
      <c r="J188" s="13" t="s">
        <v>376</v>
      </c>
      <c r="K188" s="12" t="s">
        <v>374</v>
      </c>
      <c r="L188" s="13" t="s">
        <v>785</v>
      </c>
      <c r="M188" s="12" t="str">
        <f ca="1">IF(T_MP3s[[#This Row],[ID]]=$G$3,RAND(),"")</f>
        <v/>
      </c>
    </row>
    <row r="189" spans="1:13" x14ac:dyDescent="0.25">
      <c r="I189" s="12">
        <v>48</v>
      </c>
      <c r="J189" s="13" t="s">
        <v>378</v>
      </c>
      <c r="K189" s="12" t="s">
        <v>374</v>
      </c>
      <c r="L189" s="13" t="s">
        <v>776</v>
      </c>
      <c r="M189" s="12" t="str">
        <f ca="1">IF(T_MP3s[[#This Row],[ID]]=$G$3,RAND(),"")</f>
        <v/>
      </c>
    </row>
    <row r="190" spans="1:13" x14ac:dyDescent="0.25">
      <c r="I190" s="12">
        <v>48</v>
      </c>
      <c r="J190" s="13" t="s">
        <v>373</v>
      </c>
      <c r="K190" s="12" t="s">
        <v>374</v>
      </c>
      <c r="L190" s="13" t="s">
        <v>605</v>
      </c>
      <c r="M190" s="12" t="str">
        <f ca="1">IF(T_MP3s[[#This Row],[ID]]=$G$3,RAND(),"")</f>
        <v/>
      </c>
    </row>
    <row r="191" spans="1:13" x14ac:dyDescent="0.25">
      <c r="I191" s="12">
        <v>48</v>
      </c>
      <c r="J191" s="13" t="s">
        <v>392</v>
      </c>
      <c r="K191" s="12" t="s">
        <v>374</v>
      </c>
      <c r="L191" s="13" t="s">
        <v>660</v>
      </c>
      <c r="M191" s="12" t="str">
        <f ca="1">IF(T_MP3s[[#This Row],[ID]]=$G$3,RAND(),"")</f>
        <v/>
      </c>
    </row>
    <row r="192" spans="1:13" x14ac:dyDescent="0.25">
      <c r="I192" s="12">
        <v>48</v>
      </c>
      <c r="J192" s="13" t="s">
        <v>376</v>
      </c>
      <c r="K192" s="12" t="s">
        <v>374</v>
      </c>
      <c r="L192" s="13" t="s">
        <v>901</v>
      </c>
      <c r="M192" s="12" t="str">
        <f ca="1">IF(T_MP3s[[#This Row],[ID]]=$G$3,RAND(),"")</f>
        <v/>
      </c>
    </row>
    <row r="193" spans="9:13" x14ac:dyDescent="0.25">
      <c r="I193" s="12">
        <v>49</v>
      </c>
      <c r="J193" s="13" t="s">
        <v>378</v>
      </c>
      <c r="K193" s="12" t="s">
        <v>374</v>
      </c>
      <c r="L193" s="13" t="s">
        <v>879</v>
      </c>
      <c r="M193" s="12" t="str">
        <f ca="1">IF(T_MP3s[[#This Row],[ID]]=$G$3,RAND(),"")</f>
        <v/>
      </c>
    </row>
    <row r="194" spans="9:13" x14ac:dyDescent="0.25">
      <c r="I194" s="12">
        <v>49</v>
      </c>
      <c r="J194" s="13" t="s">
        <v>373</v>
      </c>
      <c r="K194" s="12" t="s">
        <v>374</v>
      </c>
      <c r="L194" s="13" t="s">
        <v>815</v>
      </c>
      <c r="M194" s="12" t="str">
        <f ca="1">IF(T_MP3s[[#This Row],[ID]]=$G$3,RAND(),"")</f>
        <v/>
      </c>
    </row>
    <row r="195" spans="9:13" x14ac:dyDescent="0.25">
      <c r="I195" s="12">
        <v>49</v>
      </c>
      <c r="J195" s="13" t="s">
        <v>392</v>
      </c>
      <c r="K195" s="12" t="s">
        <v>374</v>
      </c>
      <c r="L195" s="13" t="s">
        <v>865</v>
      </c>
      <c r="M195" s="12" t="str">
        <f ca="1">IF(T_MP3s[[#This Row],[ID]]=$G$3,RAND(),"")</f>
        <v/>
      </c>
    </row>
    <row r="196" spans="9:13" x14ac:dyDescent="0.25">
      <c r="I196" s="12">
        <v>49</v>
      </c>
      <c r="J196" s="13" t="s">
        <v>376</v>
      </c>
      <c r="K196" s="12" t="s">
        <v>374</v>
      </c>
      <c r="L196" s="13" t="s">
        <v>773</v>
      </c>
      <c r="M196" s="12" t="str">
        <f ca="1">IF(T_MP3s[[#This Row],[ID]]=$G$3,RAND(),"")</f>
        <v/>
      </c>
    </row>
    <row r="197" spans="9:13" x14ac:dyDescent="0.25">
      <c r="I197" s="12">
        <v>50</v>
      </c>
      <c r="J197" s="13" t="s">
        <v>378</v>
      </c>
      <c r="K197" s="12" t="s">
        <v>374</v>
      </c>
      <c r="L197" s="13" t="s">
        <v>872</v>
      </c>
      <c r="M197" s="12" t="str">
        <f ca="1">IF(T_MP3s[[#This Row],[ID]]=$G$3,RAND(),"")</f>
        <v/>
      </c>
    </row>
    <row r="198" spans="9:13" x14ac:dyDescent="0.25">
      <c r="I198" s="12">
        <v>50</v>
      </c>
      <c r="J198" s="13" t="s">
        <v>373</v>
      </c>
      <c r="K198" s="12" t="s">
        <v>374</v>
      </c>
      <c r="L198" s="13" t="s">
        <v>996</v>
      </c>
      <c r="M198" s="12" t="str">
        <f ca="1">IF(T_MP3s[[#This Row],[ID]]=$G$3,RAND(),"")</f>
        <v/>
      </c>
    </row>
    <row r="199" spans="9:13" x14ac:dyDescent="0.25">
      <c r="I199" s="12">
        <v>50</v>
      </c>
      <c r="J199" s="13" t="s">
        <v>392</v>
      </c>
      <c r="K199" s="12" t="s">
        <v>374</v>
      </c>
      <c r="L199" s="13" t="s">
        <v>421</v>
      </c>
      <c r="M199" s="12" t="str">
        <f ca="1">IF(T_MP3s[[#This Row],[ID]]=$G$3,RAND(),"")</f>
        <v/>
      </c>
    </row>
    <row r="200" spans="9:13" x14ac:dyDescent="0.25">
      <c r="I200" s="12">
        <v>50</v>
      </c>
      <c r="J200" s="13" t="s">
        <v>376</v>
      </c>
      <c r="K200" s="12" t="s">
        <v>374</v>
      </c>
      <c r="L200" s="13" t="s">
        <v>841</v>
      </c>
      <c r="M200" s="12" t="str">
        <f ca="1">IF(T_MP3s[[#This Row],[ID]]=$G$3,RAND(),"")</f>
        <v/>
      </c>
    </row>
    <row r="201" spans="9:13" x14ac:dyDescent="0.25">
      <c r="I201" s="12">
        <v>51</v>
      </c>
      <c r="J201" s="13" t="s">
        <v>378</v>
      </c>
      <c r="K201" s="12" t="s">
        <v>374</v>
      </c>
      <c r="L201" s="13" t="s">
        <v>1006</v>
      </c>
      <c r="M201" s="12" t="str">
        <f ca="1">IF(T_MP3s[[#This Row],[ID]]=$G$3,RAND(),"")</f>
        <v/>
      </c>
    </row>
    <row r="202" spans="9:13" x14ac:dyDescent="0.25">
      <c r="I202" s="12">
        <v>51</v>
      </c>
      <c r="J202" s="13" t="s">
        <v>373</v>
      </c>
      <c r="K202" s="12" t="s">
        <v>374</v>
      </c>
      <c r="L202" s="13" t="s">
        <v>814</v>
      </c>
      <c r="M202" s="12" t="str">
        <f ca="1">IF(T_MP3s[[#This Row],[ID]]=$G$3,RAND(),"")</f>
        <v/>
      </c>
    </row>
    <row r="203" spans="9:13" x14ac:dyDescent="0.25">
      <c r="I203" s="12">
        <v>51</v>
      </c>
      <c r="J203" s="13" t="s">
        <v>392</v>
      </c>
      <c r="K203" s="12" t="s">
        <v>374</v>
      </c>
      <c r="L203" s="13" t="s">
        <v>769</v>
      </c>
      <c r="M203" s="12" t="str">
        <f ca="1">IF(T_MP3s[[#This Row],[ID]]=$G$3,RAND(),"")</f>
        <v/>
      </c>
    </row>
    <row r="204" spans="9:13" x14ac:dyDescent="0.25">
      <c r="I204" s="12">
        <v>51</v>
      </c>
      <c r="J204" s="13" t="s">
        <v>376</v>
      </c>
      <c r="K204" s="12" t="s">
        <v>374</v>
      </c>
      <c r="L204" s="13" t="s">
        <v>806</v>
      </c>
      <c r="M204" s="12" t="str">
        <f ca="1">IF(T_MP3s[[#This Row],[ID]]=$G$3,RAND(),"")</f>
        <v/>
      </c>
    </row>
    <row r="205" spans="9:13" x14ac:dyDescent="0.25">
      <c r="I205" s="12">
        <v>52</v>
      </c>
      <c r="J205" s="13" t="s">
        <v>378</v>
      </c>
      <c r="K205" s="12" t="s">
        <v>374</v>
      </c>
      <c r="L205" s="13" t="s">
        <v>478</v>
      </c>
      <c r="M205" s="12" t="str">
        <f ca="1">IF(T_MP3s[[#This Row],[ID]]=$G$3,RAND(),"")</f>
        <v/>
      </c>
    </row>
    <row r="206" spans="9:13" x14ac:dyDescent="0.25">
      <c r="I206" s="12">
        <v>52</v>
      </c>
      <c r="J206" s="13" t="s">
        <v>373</v>
      </c>
      <c r="K206" s="12" t="s">
        <v>374</v>
      </c>
      <c r="L206" s="13" t="s">
        <v>394</v>
      </c>
      <c r="M206" s="12" t="str">
        <f ca="1">IF(T_MP3s[[#This Row],[ID]]=$G$3,RAND(),"")</f>
        <v/>
      </c>
    </row>
    <row r="207" spans="9:13" x14ac:dyDescent="0.25">
      <c r="I207" s="12">
        <v>52</v>
      </c>
      <c r="J207" s="13" t="s">
        <v>392</v>
      </c>
      <c r="K207" s="12" t="s">
        <v>374</v>
      </c>
      <c r="L207" s="13" t="s">
        <v>534</v>
      </c>
      <c r="M207" s="12" t="str">
        <f ca="1">IF(T_MP3s[[#This Row],[ID]]=$G$3,RAND(),"")</f>
        <v/>
      </c>
    </row>
    <row r="208" spans="9:13" x14ac:dyDescent="0.25">
      <c r="I208" s="12">
        <v>52</v>
      </c>
      <c r="J208" s="13" t="s">
        <v>376</v>
      </c>
      <c r="K208" s="12" t="s">
        <v>374</v>
      </c>
      <c r="L208" s="13" t="s">
        <v>639</v>
      </c>
      <c r="M208" s="12" t="str">
        <f ca="1">IF(T_MP3s[[#This Row],[ID]]=$G$3,RAND(),"")</f>
        <v/>
      </c>
    </row>
    <row r="209" spans="9:13" x14ac:dyDescent="0.25">
      <c r="I209" s="12">
        <v>53</v>
      </c>
      <c r="J209" s="13" t="s">
        <v>378</v>
      </c>
      <c r="K209" s="12" t="s">
        <v>374</v>
      </c>
      <c r="L209" s="13" t="s">
        <v>794</v>
      </c>
      <c r="M209" s="12" t="str">
        <f ca="1">IF(T_MP3s[[#This Row],[ID]]=$G$3,RAND(),"")</f>
        <v/>
      </c>
    </row>
    <row r="210" spans="9:13" x14ac:dyDescent="0.25">
      <c r="I210" s="12">
        <v>53</v>
      </c>
      <c r="J210" s="13" t="s">
        <v>373</v>
      </c>
      <c r="K210" s="12" t="s">
        <v>374</v>
      </c>
      <c r="L210" s="13" t="s">
        <v>970</v>
      </c>
      <c r="M210" s="12" t="str">
        <f ca="1">IF(T_MP3s[[#This Row],[ID]]=$G$3,RAND(),"")</f>
        <v/>
      </c>
    </row>
    <row r="211" spans="9:13" x14ac:dyDescent="0.25">
      <c r="I211" s="12">
        <v>53</v>
      </c>
      <c r="J211" s="13" t="s">
        <v>392</v>
      </c>
      <c r="K211" s="12" t="s">
        <v>374</v>
      </c>
      <c r="L211" s="13" t="s">
        <v>1005</v>
      </c>
      <c r="M211" s="12" t="str">
        <f ca="1">IF(T_MP3s[[#This Row],[ID]]=$G$3,RAND(),"")</f>
        <v/>
      </c>
    </row>
    <row r="212" spans="9:13" x14ac:dyDescent="0.25">
      <c r="I212" s="12">
        <v>53</v>
      </c>
      <c r="J212" s="13" t="s">
        <v>376</v>
      </c>
      <c r="K212" s="12" t="s">
        <v>374</v>
      </c>
      <c r="L212" s="13" t="s">
        <v>958</v>
      </c>
      <c r="M212" s="12" t="str">
        <f ca="1">IF(T_MP3s[[#This Row],[ID]]=$G$3,RAND(),"")</f>
        <v/>
      </c>
    </row>
    <row r="213" spans="9:13" x14ac:dyDescent="0.25">
      <c r="I213" s="12">
        <v>54</v>
      </c>
      <c r="J213" s="13" t="s">
        <v>378</v>
      </c>
      <c r="K213" s="12" t="s">
        <v>374</v>
      </c>
      <c r="L213" s="13" t="s">
        <v>988</v>
      </c>
      <c r="M213" s="12" t="str">
        <f ca="1">IF(T_MP3s[[#This Row],[ID]]=$G$3,RAND(),"")</f>
        <v/>
      </c>
    </row>
    <row r="214" spans="9:13" x14ac:dyDescent="0.25">
      <c r="I214" s="12">
        <v>54</v>
      </c>
      <c r="J214" s="13" t="s">
        <v>373</v>
      </c>
      <c r="K214" s="12" t="s">
        <v>374</v>
      </c>
      <c r="L214" s="13" t="s">
        <v>826</v>
      </c>
      <c r="M214" s="12" t="str">
        <f ca="1">IF(T_MP3s[[#This Row],[ID]]=$G$3,RAND(),"")</f>
        <v/>
      </c>
    </row>
    <row r="215" spans="9:13" x14ac:dyDescent="0.25">
      <c r="I215" s="12">
        <v>54</v>
      </c>
      <c r="J215" s="13" t="s">
        <v>392</v>
      </c>
      <c r="K215" s="12" t="s">
        <v>374</v>
      </c>
      <c r="L215" s="13" t="s">
        <v>783</v>
      </c>
      <c r="M215" s="12" t="str">
        <f ca="1">IF(T_MP3s[[#This Row],[ID]]=$G$3,RAND(),"")</f>
        <v/>
      </c>
    </row>
    <row r="216" spans="9:13" x14ac:dyDescent="0.25">
      <c r="I216" s="12">
        <v>54</v>
      </c>
      <c r="J216" s="13" t="s">
        <v>376</v>
      </c>
      <c r="K216" s="12" t="s">
        <v>374</v>
      </c>
      <c r="L216" s="13" t="s">
        <v>990</v>
      </c>
      <c r="M216" s="12" t="str">
        <f ca="1">IF(T_MP3s[[#This Row],[ID]]=$G$3,RAND(),"")</f>
        <v/>
      </c>
    </row>
    <row r="217" spans="9:13" x14ac:dyDescent="0.25">
      <c r="I217" s="12">
        <v>55</v>
      </c>
      <c r="J217" s="13" t="s">
        <v>378</v>
      </c>
      <c r="K217" s="12" t="s">
        <v>374</v>
      </c>
      <c r="L217" s="13" t="s">
        <v>915</v>
      </c>
      <c r="M217" s="12" t="str">
        <f ca="1">IF(T_MP3s[[#This Row],[ID]]=$G$3,RAND(),"")</f>
        <v/>
      </c>
    </row>
    <row r="218" spans="9:13" x14ac:dyDescent="0.25">
      <c r="I218" s="12">
        <v>55</v>
      </c>
      <c r="J218" s="13" t="s">
        <v>373</v>
      </c>
      <c r="K218" s="12" t="s">
        <v>374</v>
      </c>
      <c r="L218" s="13" t="s">
        <v>813</v>
      </c>
      <c r="M218" s="12" t="str">
        <f ca="1">IF(T_MP3s[[#This Row],[ID]]=$G$3,RAND(),"")</f>
        <v/>
      </c>
    </row>
    <row r="219" spans="9:13" x14ac:dyDescent="0.25">
      <c r="I219" s="12">
        <v>55</v>
      </c>
      <c r="J219" s="13" t="s">
        <v>392</v>
      </c>
      <c r="K219" s="12" t="s">
        <v>374</v>
      </c>
      <c r="L219" s="13" t="s">
        <v>805</v>
      </c>
      <c r="M219" s="12" t="str">
        <f ca="1">IF(T_MP3s[[#This Row],[ID]]=$G$3,RAND(),"")</f>
        <v/>
      </c>
    </row>
    <row r="220" spans="9:13" x14ac:dyDescent="0.25">
      <c r="I220" s="12">
        <v>55</v>
      </c>
      <c r="J220" s="13" t="s">
        <v>376</v>
      </c>
      <c r="K220" s="12" t="s">
        <v>374</v>
      </c>
      <c r="L220" s="13" t="s">
        <v>535</v>
      </c>
      <c r="M220" s="12" t="str">
        <f ca="1">IF(T_MP3s[[#This Row],[ID]]=$G$3,RAND(),"")</f>
        <v/>
      </c>
    </row>
    <row r="221" spans="9:13" x14ac:dyDescent="0.25">
      <c r="I221" s="12">
        <v>56</v>
      </c>
      <c r="J221" s="13" t="s">
        <v>378</v>
      </c>
      <c r="K221" s="12" t="s">
        <v>374</v>
      </c>
      <c r="L221" s="13" t="s">
        <v>888</v>
      </c>
      <c r="M221" s="12" t="str">
        <f ca="1">IF(T_MP3s[[#This Row],[ID]]=$G$3,RAND(),"")</f>
        <v/>
      </c>
    </row>
    <row r="222" spans="9:13" x14ac:dyDescent="0.25">
      <c r="I222" s="12">
        <v>56</v>
      </c>
      <c r="J222" s="13" t="s">
        <v>373</v>
      </c>
      <c r="K222" s="12" t="s">
        <v>374</v>
      </c>
      <c r="L222" s="13" t="s">
        <v>485</v>
      </c>
      <c r="M222" s="12" t="str">
        <f ca="1">IF(T_MP3s[[#This Row],[ID]]=$G$3,RAND(),"")</f>
        <v/>
      </c>
    </row>
    <row r="223" spans="9:13" x14ac:dyDescent="0.25">
      <c r="I223" s="12">
        <v>56</v>
      </c>
      <c r="J223" s="13" t="s">
        <v>392</v>
      </c>
      <c r="K223" s="12" t="s">
        <v>374</v>
      </c>
      <c r="L223" s="13" t="s">
        <v>991</v>
      </c>
      <c r="M223" s="12" t="str">
        <f ca="1">IF(T_MP3s[[#This Row],[ID]]=$G$3,RAND(),"")</f>
        <v/>
      </c>
    </row>
    <row r="224" spans="9:13" x14ac:dyDescent="0.25">
      <c r="I224" s="12">
        <v>56</v>
      </c>
      <c r="J224" s="13" t="s">
        <v>376</v>
      </c>
      <c r="K224" s="12" t="s">
        <v>374</v>
      </c>
      <c r="L224" s="13" t="s">
        <v>524</v>
      </c>
      <c r="M224" s="12" t="str">
        <f ca="1">IF(T_MP3s[[#This Row],[ID]]=$G$3,RAND(),"")</f>
        <v/>
      </c>
    </row>
    <row r="225" spans="9:13" x14ac:dyDescent="0.25">
      <c r="I225" s="12">
        <v>57</v>
      </c>
      <c r="J225" s="13" t="s">
        <v>378</v>
      </c>
      <c r="K225" s="12" t="s">
        <v>374</v>
      </c>
      <c r="L225" s="13" t="s">
        <v>860</v>
      </c>
      <c r="M225" s="12" t="str">
        <f ca="1">IF(T_MP3s[[#This Row],[ID]]=$G$3,RAND(),"")</f>
        <v/>
      </c>
    </row>
    <row r="226" spans="9:13" x14ac:dyDescent="0.25">
      <c r="I226" s="12">
        <v>57</v>
      </c>
      <c r="J226" s="13" t="s">
        <v>373</v>
      </c>
      <c r="K226" s="12" t="s">
        <v>374</v>
      </c>
      <c r="L226" s="13" t="s">
        <v>692</v>
      </c>
      <c r="M226" s="12" t="str">
        <f ca="1">IF(T_MP3s[[#This Row],[ID]]=$G$3,RAND(),"")</f>
        <v/>
      </c>
    </row>
    <row r="227" spans="9:13" x14ac:dyDescent="0.25">
      <c r="I227" s="12">
        <v>57</v>
      </c>
      <c r="J227" s="13" t="s">
        <v>392</v>
      </c>
      <c r="K227" s="12" t="s">
        <v>374</v>
      </c>
      <c r="L227" s="13" t="s">
        <v>640</v>
      </c>
      <c r="M227" s="12" t="str">
        <f ca="1">IF(T_MP3s[[#This Row],[ID]]=$G$3,RAND(),"")</f>
        <v/>
      </c>
    </row>
    <row r="228" spans="9:13" x14ac:dyDescent="0.25">
      <c r="I228" s="12">
        <v>57</v>
      </c>
      <c r="J228" s="13" t="s">
        <v>376</v>
      </c>
      <c r="K228" s="12" t="s">
        <v>374</v>
      </c>
      <c r="L228" s="13" t="s">
        <v>653</v>
      </c>
      <c r="M228" s="12" t="str">
        <f ca="1">IF(T_MP3s[[#This Row],[ID]]=$G$3,RAND(),"")</f>
        <v/>
      </c>
    </row>
    <row r="229" spans="9:13" x14ac:dyDescent="0.25">
      <c r="I229" s="12">
        <v>58</v>
      </c>
      <c r="J229" s="13" t="s">
        <v>378</v>
      </c>
      <c r="K229" s="12" t="s">
        <v>374</v>
      </c>
      <c r="L229" s="13" t="s">
        <v>817</v>
      </c>
      <c r="M229" s="12" t="str">
        <f ca="1">IF(T_MP3s[[#This Row],[ID]]=$G$3,RAND(),"")</f>
        <v/>
      </c>
    </row>
    <row r="230" spans="9:13" x14ac:dyDescent="0.25">
      <c r="I230" s="12">
        <v>58</v>
      </c>
      <c r="J230" s="13" t="s">
        <v>373</v>
      </c>
      <c r="K230" s="12" t="s">
        <v>374</v>
      </c>
      <c r="L230" s="13" t="s">
        <v>578</v>
      </c>
      <c r="M230" s="12" t="str">
        <f ca="1">IF(T_MP3s[[#This Row],[ID]]=$G$3,RAND(),"")</f>
        <v/>
      </c>
    </row>
    <row r="231" spans="9:13" x14ac:dyDescent="0.25">
      <c r="I231" s="12">
        <v>58</v>
      </c>
      <c r="J231" s="13" t="s">
        <v>392</v>
      </c>
      <c r="K231" s="12" t="s">
        <v>374</v>
      </c>
      <c r="L231" s="13" t="s">
        <v>952</v>
      </c>
      <c r="M231" s="12" t="str">
        <f ca="1">IF(T_MP3s[[#This Row],[ID]]=$G$3,RAND(),"")</f>
        <v/>
      </c>
    </row>
    <row r="232" spans="9:13" x14ac:dyDescent="0.25">
      <c r="I232" s="12">
        <v>58</v>
      </c>
      <c r="J232" s="13" t="s">
        <v>376</v>
      </c>
      <c r="K232" s="12" t="s">
        <v>374</v>
      </c>
      <c r="L232" s="13" t="s">
        <v>433</v>
      </c>
      <c r="M232" s="12" t="str">
        <f ca="1">IF(T_MP3s[[#This Row],[ID]]=$G$3,RAND(),"")</f>
        <v/>
      </c>
    </row>
    <row r="233" spans="9:13" x14ac:dyDescent="0.25">
      <c r="I233" s="12">
        <v>59</v>
      </c>
      <c r="J233" s="13" t="s">
        <v>378</v>
      </c>
      <c r="K233" s="12" t="s">
        <v>374</v>
      </c>
      <c r="L233" s="13" t="s">
        <v>746</v>
      </c>
      <c r="M233" s="12" t="str">
        <f ca="1">IF(T_MP3s[[#This Row],[ID]]=$G$3,RAND(),"")</f>
        <v/>
      </c>
    </row>
    <row r="234" spans="9:13" x14ac:dyDescent="0.25">
      <c r="I234" s="12">
        <v>59</v>
      </c>
      <c r="J234" s="13" t="s">
        <v>373</v>
      </c>
      <c r="K234" s="12" t="s">
        <v>374</v>
      </c>
      <c r="L234" s="13" t="s">
        <v>652</v>
      </c>
      <c r="M234" s="12" t="str">
        <f ca="1">IF(T_MP3s[[#This Row],[ID]]=$G$3,RAND(),"")</f>
        <v/>
      </c>
    </row>
    <row r="235" spans="9:13" x14ac:dyDescent="0.25">
      <c r="I235" s="12">
        <v>59</v>
      </c>
      <c r="J235" s="13" t="s">
        <v>392</v>
      </c>
      <c r="K235" s="12" t="s">
        <v>374</v>
      </c>
      <c r="L235" s="13" t="s">
        <v>710</v>
      </c>
      <c r="M235" s="12" t="str">
        <f ca="1">IF(T_MP3s[[#This Row],[ID]]=$G$3,RAND(),"")</f>
        <v/>
      </c>
    </row>
    <row r="236" spans="9:13" x14ac:dyDescent="0.25">
      <c r="I236" s="12">
        <v>59</v>
      </c>
      <c r="J236" s="13" t="s">
        <v>376</v>
      </c>
      <c r="K236" s="12" t="s">
        <v>374</v>
      </c>
      <c r="L236" s="13" t="s">
        <v>780</v>
      </c>
      <c r="M236" s="12" t="str">
        <f ca="1">IF(T_MP3s[[#This Row],[ID]]=$G$3,RAND(),"")</f>
        <v/>
      </c>
    </row>
    <row r="237" spans="9:13" x14ac:dyDescent="0.25">
      <c r="I237" s="12">
        <v>60</v>
      </c>
      <c r="J237" s="13" t="s">
        <v>378</v>
      </c>
      <c r="K237" s="12" t="s">
        <v>374</v>
      </c>
      <c r="L237" s="13" t="s">
        <v>667</v>
      </c>
      <c r="M237" s="12" t="str">
        <f ca="1">IF(T_MP3s[[#This Row],[ID]]=$G$3,RAND(),"")</f>
        <v/>
      </c>
    </row>
    <row r="238" spans="9:13" x14ac:dyDescent="0.25">
      <c r="I238" s="12">
        <v>60</v>
      </c>
      <c r="J238" s="13" t="s">
        <v>373</v>
      </c>
      <c r="K238" s="12" t="s">
        <v>374</v>
      </c>
      <c r="L238" s="13" t="s">
        <v>782</v>
      </c>
      <c r="M238" s="12" t="str">
        <f ca="1">IF(T_MP3s[[#This Row],[ID]]=$G$3,RAND(),"")</f>
        <v/>
      </c>
    </row>
    <row r="239" spans="9:13" x14ac:dyDescent="0.25">
      <c r="I239" s="12">
        <v>60</v>
      </c>
      <c r="J239" s="13" t="s">
        <v>392</v>
      </c>
      <c r="K239" s="12" t="s">
        <v>374</v>
      </c>
      <c r="L239" s="13" t="s">
        <v>571</v>
      </c>
      <c r="M239" s="12" t="str">
        <f ca="1">IF(T_MP3s[[#This Row],[ID]]=$G$3,RAND(),"")</f>
        <v/>
      </c>
    </row>
    <row r="240" spans="9:13" x14ac:dyDescent="0.25">
      <c r="I240" s="12">
        <v>60</v>
      </c>
      <c r="J240" s="13" t="s">
        <v>376</v>
      </c>
      <c r="K240" s="12" t="s">
        <v>374</v>
      </c>
      <c r="L240" s="13" t="s">
        <v>526</v>
      </c>
      <c r="M240" s="12" t="str">
        <f ca="1">IF(T_MP3s[[#This Row],[ID]]=$G$3,RAND(),"")</f>
        <v/>
      </c>
    </row>
    <row r="241" spans="9:13" x14ac:dyDescent="0.25">
      <c r="I241" s="12">
        <v>61</v>
      </c>
      <c r="J241" s="13" t="s">
        <v>378</v>
      </c>
      <c r="K241" s="12" t="s">
        <v>374</v>
      </c>
      <c r="L241" s="13" t="s">
        <v>581</v>
      </c>
      <c r="M241" s="12" t="str">
        <f ca="1">IF(T_MP3s[[#This Row],[ID]]=$G$3,RAND(),"")</f>
        <v/>
      </c>
    </row>
    <row r="242" spans="9:13" x14ac:dyDescent="0.25">
      <c r="I242" s="12">
        <v>61</v>
      </c>
      <c r="J242" s="13" t="s">
        <v>373</v>
      </c>
      <c r="K242" s="12" t="s">
        <v>374</v>
      </c>
      <c r="L242" s="13" t="s">
        <v>779</v>
      </c>
      <c r="M242" s="12" t="str">
        <f ca="1">IF(T_MP3s[[#This Row],[ID]]=$G$3,RAND(),"")</f>
        <v/>
      </c>
    </row>
    <row r="243" spans="9:13" x14ac:dyDescent="0.25">
      <c r="I243" s="12">
        <v>61</v>
      </c>
      <c r="J243" s="13" t="s">
        <v>392</v>
      </c>
      <c r="K243" s="12" t="s">
        <v>374</v>
      </c>
      <c r="L243" s="13" t="s">
        <v>440</v>
      </c>
      <c r="M243" s="12" t="str">
        <f ca="1">IF(T_MP3s[[#This Row],[ID]]=$G$3,RAND(),"")</f>
        <v/>
      </c>
    </row>
    <row r="244" spans="9:13" x14ac:dyDescent="0.25">
      <c r="I244" s="12">
        <v>61</v>
      </c>
      <c r="J244" s="13" t="s">
        <v>376</v>
      </c>
      <c r="K244" s="12" t="s">
        <v>374</v>
      </c>
      <c r="L244" s="13" t="s">
        <v>711</v>
      </c>
      <c r="M244" s="12" t="str">
        <f ca="1">IF(T_MP3s[[#This Row],[ID]]=$G$3,RAND(),"")</f>
        <v/>
      </c>
    </row>
    <row r="245" spans="9:13" x14ac:dyDescent="0.25">
      <c r="I245" s="12">
        <v>63</v>
      </c>
      <c r="J245" s="13" t="s">
        <v>378</v>
      </c>
      <c r="K245" s="12" t="s">
        <v>374</v>
      </c>
      <c r="L245" s="13" t="s">
        <v>389</v>
      </c>
      <c r="M245" s="12" t="str">
        <f ca="1">IF(T_MP3s[[#This Row],[ID]]=$G$3,RAND(),"")</f>
        <v/>
      </c>
    </row>
    <row r="246" spans="9:13" x14ac:dyDescent="0.25">
      <c r="I246" s="12">
        <v>63</v>
      </c>
      <c r="J246" s="13" t="s">
        <v>373</v>
      </c>
      <c r="K246" s="12" t="s">
        <v>374</v>
      </c>
      <c r="L246" s="13" t="s">
        <v>708</v>
      </c>
      <c r="M246" s="12" t="str">
        <f ca="1">IF(T_MP3s[[#This Row],[ID]]=$G$3,RAND(),"")</f>
        <v/>
      </c>
    </row>
    <row r="247" spans="9:13" x14ac:dyDescent="0.25">
      <c r="I247" s="12">
        <v>63</v>
      </c>
      <c r="J247" s="13" t="s">
        <v>392</v>
      </c>
      <c r="K247" s="12" t="s">
        <v>374</v>
      </c>
      <c r="L247" s="13" t="s">
        <v>833</v>
      </c>
      <c r="M247" s="12" t="str">
        <f ca="1">IF(T_MP3s[[#This Row],[ID]]=$G$3,RAND(),"")</f>
        <v/>
      </c>
    </row>
    <row r="248" spans="9:13" x14ac:dyDescent="0.25">
      <c r="I248" s="12">
        <v>63</v>
      </c>
      <c r="J248" s="13" t="s">
        <v>376</v>
      </c>
      <c r="K248" s="12" t="s">
        <v>374</v>
      </c>
      <c r="L248" s="13" t="s">
        <v>621</v>
      </c>
      <c r="M248" s="12" t="str">
        <f ca="1">IF(T_MP3s[[#This Row],[ID]]=$G$3,RAND(),"")</f>
        <v/>
      </c>
    </row>
    <row r="249" spans="9:13" x14ac:dyDescent="0.25">
      <c r="I249" s="12">
        <v>64</v>
      </c>
      <c r="J249" s="13" t="s">
        <v>378</v>
      </c>
      <c r="K249" s="12" t="s">
        <v>374</v>
      </c>
      <c r="L249" s="13" t="s">
        <v>774</v>
      </c>
      <c r="M249" s="12" t="str">
        <f ca="1">IF(T_MP3s[[#This Row],[ID]]=$G$3,RAND(),"")</f>
        <v/>
      </c>
    </row>
    <row r="250" spans="9:13" x14ac:dyDescent="0.25">
      <c r="I250" s="12">
        <v>64</v>
      </c>
      <c r="J250" s="13" t="s">
        <v>373</v>
      </c>
      <c r="K250" s="12" t="s">
        <v>374</v>
      </c>
      <c r="L250" s="13" t="s">
        <v>770</v>
      </c>
      <c r="M250" s="12" t="str">
        <f ca="1">IF(T_MP3s[[#This Row],[ID]]=$G$3,RAND(),"")</f>
        <v/>
      </c>
    </row>
    <row r="251" spans="9:13" x14ac:dyDescent="0.25">
      <c r="I251" s="12">
        <v>64</v>
      </c>
      <c r="J251" s="13" t="s">
        <v>392</v>
      </c>
      <c r="K251" s="12" t="s">
        <v>374</v>
      </c>
      <c r="L251" s="13" t="s">
        <v>437</v>
      </c>
      <c r="M251" s="12" t="str">
        <f ca="1">IF(T_MP3s[[#This Row],[ID]]=$G$3,RAND(),"")</f>
        <v/>
      </c>
    </row>
    <row r="252" spans="9:13" x14ac:dyDescent="0.25">
      <c r="I252" s="12">
        <v>64</v>
      </c>
      <c r="J252" s="13" t="s">
        <v>376</v>
      </c>
      <c r="K252" s="12" t="s">
        <v>374</v>
      </c>
      <c r="L252" s="13" t="s">
        <v>728</v>
      </c>
      <c r="M252" s="12" t="str">
        <f ca="1">IF(T_MP3s[[#This Row],[ID]]=$G$3,RAND(),"")</f>
        <v/>
      </c>
    </row>
    <row r="253" spans="9:13" x14ac:dyDescent="0.25">
      <c r="I253" s="12">
        <v>65</v>
      </c>
      <c r="J253" s="13" t="s">
        <v>378</v>
      </c>
      <c r="K253" s="12" t="s">
        <v>374</v>
      </c>
      <c r="L253" s="13" t="s">
        <v>391</v>
      </c>
      <c r="M253" s="12" t="str">
        <f ca="1">IF(T_MP3s[[#This Row],[ID]]=$G$3,RAND(),"")</f>
        <v/>
      </c>
    </row>
    <row r="254" spans="9:13" x14ac:dyDescent="0.25">
      <c r="I254" s="12">
        <v>65</v>
      </c>
      <c r="J254" s="13" t="s">
        <v>373</v>
      </c>
      <c r="K254" s="12" t="s">
        <v>374</v>
      </c>
      <c r="L254" s="13" t="s">
        <v>923</v>
      </c>
      <c r="M254" s="12" t="str">
        <f ca="1">IF(T_MP3s[[#This Row],[ID]]=$G$3,RAND(),"")</f>
        <v/>
      </c>
    </row>
    <row r="255" spans="9:13" x14ac:dyDescent="0.25">
      <c r="I255" s="12">
        <v>65</v>
      </c>
      <c r="J255" s="13" t="s">
        <v>392</v>
      </c>
      <c r="K255" s="12" t="s">
        <v>374</v>
      </c>
      <c r="L255" s="13" t="s">
        <v>414</v>
      </c>
      <c r="M255" s="12" t="str">
        <f ca="1">IF(T_MP3s[[#This Row],[ID]]=$G$3,RAND(),"")</f>
        <v/>
      </c>
    </row>
    <row r="256" spans="9:13" x14ac:dyDescent="0.25">
      <c r="I256" s="12">
        <v>65</v>
      </c>
      <c r="J256" s="13" t="s">
        <v>376</v>
      </c>
      <c r="K256" s="12" t="s">
        <v>374</v>
      </c>
      <c r="L256" s="13" t="s">
        <v>592</v>
      </c>
      <c r="M256" s="12" t="str">
        <f ca="1">IF(T_MP3s[[#This Row],[ID]]=$G$3,RAND(),"")</f>
        <v/>
      </c>
    </row>
    <row r="257" spans="9:13" x14ac:dyDescent="0.25">
      <c r="I257" s="12">
        <v>66</v>
      </c>
      <c r="J257" s="13" t="s">
        <v>378</v>
      </c>
      <c r="K257" s="12" t="s">
        <v>374</v>
      </c>
      <c r="L257" s="13" t="s">
        <v>781</v>
      </c>
      <c r="M257" s="12" t="str">
        <f ca="1">IF(T_MP3s[[#This Row],[ID]]=$G$3,RAND(),"")</f>
        <v/>
      </c>
    </row>
    <row r="258" spans="9:13" x14ac:dyDescent="0.25">
      <c r="I258" s="12">
        <v>66</v>
      </c>
      <c r="J258" s="13" t="s">
        <v>373</v>
      </c>
      <c r="K258" s="12" t="s">
        <v>374</v>
      </c>
      <c r="L258" s="13" t="s">
        <v>442</v>
      </c>
      <c r="M258" s="12" t="str">
        <f ca="1">IF(T_MP3s[[#This Row],[ID]]=$G$3,RAND(),"")</f>
        <v/>
      </c>
    </row>
    <row r="259" spans="9:13" x14ac:dyDescent="0.25">
      <c r="I259" s="12">
        <v>66</v>
      </c>
      <c r="J259" s="13" t="s">
        <v>392</v>
      </c>
      <c r="K259" s="12" t="s">
        <v>374</v>
      </c>
      <c r="L259" s="13" t="s">
        <v>459</v>
      </c>
      <c r="M259" s="12" t="str">
        <f ca="1">IF(T_MP3s[[#This Row],[ID]]=$G$3,RAND(),"")</f>
        <v/>
      </c>
    </row>
    <row r="260" spans="9:13" x14ac:dyDescent="0.25">
      <c r="I260" s="12">
        <v>66</v>
      </c>
      <c r="J260" s="13" t="s">
        <v>376</v>
      </c>
      <c r="K260" s="12" t="s">
        <v>374</v>
      </c>
      <c r="L260" s="13" t="s">
        <v>468</v>
      </c>
      <c r="M260" s="12" t="str">
        <f ca="1">IF(T_MP3s[[#This Row],[ID]]=$G$3,RAND(),"")</f>
        <v/>
      </c>
    </row>
    <row r="261" spans="9:13" x14ac:dyDescent="0.25">
      <c r="I261" s="12">
        <v>67</v>
      </c>
      <c r="J261" s="13" t="s">
        <v>378</v>
      </c>
      <c r="K261" s="12" t="s">
        <v>374</v>
      </c>
      <c r="L261" s="13" t="s">
        <v>982</v>
      </c>
      <c r="M261" s="12" t="str">
        <f ca="1">IF(T_MP3s[[#This Row],[ID]]=$G$3,RAND(),"")</f>
        <v/>
      </c>
    </row>
    <row r="262" spans="9:13" x14ac:dyDescent="0.25">
      <c r="I262" s="12">
        <v>67</v>
      </c>
      <c r="J262" s="13" t="s">
        <v>373</v>
      </c>
      <c r="K262" s="12" t="s">
        <v>374</v>
      </c>
      <c r="L262" s="13" t="s">
        <v>427</v>
      </c>
      <c r="M262" s="12" t="str">
        <f ca="1">IF(T_MP3s[[#This Row],[ID]]=$G$3,RAND(),"")</f>
        <v/>
      </c>
    </row>
    <row r="263" spans="9:13" x14ac:dyDescent="0.25">
      <c r="I263" s="12">
        <v>67</v>
      </c>
      <c r="J263" s="13" t="s">
        <v>392</v>
      </c>
      <c r="K263" s="12" t="s">
        <v>374</v>
      </c>
      <c r="L263" s="13" t="s">
        <v>705</v>
      </c>
      <c r="M263" s="12" t="str">
        <f ca="1">IF(T_MP3s[[#This Row],[ID]]=$G$3,RAND(),"")</f>
        <v/>
      </c>
    </row>
    <row r="264" spans="9:13" x14ac:dyDescent="0.25">
      <c r="I264" s="12">
        <v>67</v>
      </c>
      <c r="J264" s="13" t="s">
        <v>376</v>
      </c>
      <c r="K264" s="12" t="s">
        <v>374</v>
      </c>
      <c r="L264" s="13" t="s">
        <v>644</v>
      </c>
      <c r="M264" s="12" t="str">
        <f ca="1">IF(T_MP3s[[#This Row],[ID]]=$G$3,RAND(),"")</f>
        <v/>
      </c>
    </row>
    <row r="265" spans="9:13" x14ac:dyDescent="0.25">
      <c r="I265" s="12">
        <v>68</v>
      </c>
      <c r="J265" s="13" t="s">
        <v>378</v>
      </c>
      <c r="K265" s="12" t="s">
        <v>374</v>
      </c>
      <c r="L265" s="13" t="s">
        <v>635</v>
      </c>
      <c r="M265" s="12" t="str">
        <f ca="1">IF(T_MP3s[[#This Row],[ID]]=$G$3,RAND(),"")</f>
        <v/>
      </c>
    </row>
    <row r="266" spans="9:13" x14ac:dyDescent="0.25">
      <c r="I266" s="12">
        <v>68</v>
      </c>
      <c r="J266" s="13" t="s">
        <v>373</v>
      </c>
      <c r="K266" s="12" t="s">
        <v>374</v>
      </c>
      <c r="L266" s="13" t="s">
        <v>637</v>
      </c>
      <c r="M266" s="12" t="str">
        <f ca="1">IF(T_MP3s[[#This Row],[ID]]=$G$3,RAND(),"")</f>
        <v/>
      </c>
    </row>
    <row r="267" spans="9:13" x14ac:dyDescent="0.25">
      <c r="I267" s="12">
        <v>68</v>
      </c>
      <c r="J267" s="13" t="s">
        <v>392</v>
      </c>
      <c r="K267" s="12" t="s">
        <v>374</v>
      </c>
      <c r="L267" s="13" t="s">
        <v>878</v>
      </c>
      <c r="M267" s="12" t="str">
        <f ca="1">IF(T_MP3s[[#This Row],[ID]]=$G$3,RAND(),"")</f>
        <v/>
      </c>
    </row>
    <row r="268" spans="9:13" x14ac:dyDescent="0.25">
      <c r="I268" s="12">
        <v>68</v>
      </c>
      <c r="J268" s="13" t="s">
        <v>376</v>
      </c>
      <c r="K268" s="12" t="s">
        <v>374</v>
      </c>
      <c r="L268" s="13" t="s">
        <v>548</v>
      </c>
      <c r="M268" s="12" t="str">
        <f ca="1">IF(T_MP3s[[#This Row],[ID]]=$G$3,RAND(),"")</f>
        <v/>
      </c>
    </row>
    <row r="269" spans="9:13" x14ac:dyDescent="0.25">
      <c r="I269" s="12">
        <v>69</v>
      </c>
      <c r="J269" s="13" t="s">
        <v>378</v>
      </c>
      <c r="K269" s="12" t="s">
        <v>374</v>
      </c>
      <c r="L269" s="13" t="s">
        <v>946</v>
      </c>
      <c r="M269" s="12" t="str">
        <f ca="1">IF(T_MP3s[[#This Row],[ID]]=$G$3,RAND(),"")</f>
        <v/>
      </c>
    </row>
    <row r="270" spans="9:13" x14ac:dyDescent="0.25">
      <c r="I270" s="12">
        <v>69</v>
      </c>
      <c r="J270" s="13" t="s">
        <v>373</v>
      </c>
      <c r="K270" s="12" t="s">
        <v>374</v>
      </c>
      <c r="L270" s="13" t="s">
        <v>560</v>
      </c>
      <c r="M270" s="12" t="str">
        <f ca="1">IF(T_MP3s[[#This Row],[ID]]=$G$3,RAND(),"")</f>
        <v/>
      </c>
    </row>
    <row r="271" spans="9:13" x14ac:dyDescent="0.25">
      <c r="I271" s="12">
        <v>69</v>
      </c>
      <c r="J271" s="13" t="s">
        <v>392</v>
      </c>
      <c r="K271" s="12" t="s">
        <v>374</v>
      </c>
      <c r="L271" s="13" t="s">
        <v>671</v>
      </c>
      <c r="M271" s="12" t="str">
        <f ca="1">IF(T_MP3s[[#This Row],[ID]]=$G$3,RAND(),"")</f>
        <v/>
      </c>
    </row>
    <row r="272" spans="9:13" x14ac:dyDescent="0.25">
      <c r="I272" s="12">
        <v>69</v>
      </c>
      <c r="J272" s="13" t="s">
        <v>376</v>
      </c>
      <c r="K272" s="12" t="s">
        <v>374</v>
      </c>
      <c r="L272" s="13" t="s">
        <v>453</v>
      </c>
      <c r="M272" s="12" t="str">
        <f ca="1">IF(T_MP3s[[#This Row],[ID]]=$G$3,RAND(),"")</f>
        <v/>
      </c>
    </row>
    <row r="273" spans="9:13" x14ac:dyDescent="0.25">
      <c r="I273" s="12">
        <v>70</v>
      </c>
      <c r="J273" s="13" t="s">
        <v>378</v>
      </c>
      <c r="K273" s="12" t="s">
        <v>374</v>
      </c>
      <c r="L273" s="13" t="s">
        <v>956</v>
      </c>
      <c r="M273" s="12" t="str">
        <f ca="1">IF(T_MP3s[[#This Row],[ID]]=$G$3,RAND(),"")</f>
        <v/>
      </c>
    </row>
    <row r="274" spans="9:13" x14ac:dyDescent="0.25">
      <c r="I274" s="12">
        <v>70</v>
      </c>
      <c r="J274" s="13" t="s">
        <v>373</v>
      </c>
      <c r="K274" s="12" t="s">
        <v>374</v>
      </c>
      <c r="L274" s="13" t="s">
        <v>467</v>
      </c>
      <c r="M274" s="12" t="str">
        <f ca="1">IF(T_MP3s[[#This Row],[ID]]=$G$3,RAND(),"")</f>
        <v/>
      </c>
    </row>
    <row r="275" spans="9:13" x14ac:dyDescent="0.25">
      <c r="I275" s="12">
        <v>70</v>
      </c>
      <c r="J275" s="13" t="s">
        <v>392</v>
      </c>
      <c r="K275" s="12" t="s">
        <v>374</v>
      </c>
      <c r="L275" s="13" t="s">
        <v>955</v>
      </c>
      <c r="M275" s="12" t="str">
        <f ca="1">IF(T_MP3s[[#This Row],[ID]]=$G$3,RAND(),"")</f>
        <v/>
      </c>
    </row>
    <row r="276" spans="9:13" x14ac:dyDescent="0.25">
      <c r="I276" s="12">
        <v>70</v>
      </c>
      <c r="J276" s="13" t="s">
        <v>376</v>
      </c>
      <c r="K276" s="12" t="s">
        <v>374</v>
      </c>
      <c r="L276" s="13" t="s">
        <v>608</v>
      </c>
      <c r="M276" s="12" t="str">
        <f ca="1">IF(T_MP3s[[#This Row],[ID]]=$G$3,RAND(),"")</f>
        <v/>
      </c>
    </row>
    <row r="277" spans="9:13" x14ac:dyDescent="0.25">
      <c r="I277" s="12">
        <v>71</v>
      </c>
      <c r="J277" s="13" t="s">
        <v>378</v>
      </c>
      <c r="K277" s="12" t="s">
        <v>374</v>
      </c>
      <c r="L277" s="13" t="s">
        <v>450</v>
      </c>
      <c r="M277" s="12" t="str">
        <f ca="1">IF(T_MP3s[[#This Row],[ID]]=$G$3,RAND(),"")</f>
        <v/>
      </c>
    </row>
    <row r="278" spans="9:13" x14ac:dyDescent="0.25">
      <c r="I278" s="12">
        <v>71</v>
      </c>
      <c r="J278" s="13" t="s">
        <v>373</v>
      </c>
      <c r="K278" s="12" t="s">
        <v>374</v>
      </c>
      <c r="L278" s="13" t="s">
        <v>742</v>
      </c>
      <c r="M278" s="12" t="str">
        <f ca="1">IF(T_MP3s[[#This Row],[ID]]=$G$3,RAND(),"")</f>
        <v/>
      </c>
    </row>
    <row r="279" spans="9:13" x14ac:dyDescent="0.25">
      <c r="I279" s="12">
        <v>71</v>
      </c>
      <c r="J279" s="13" t="s">
        <v>392</v>
      </c>
      <c r="K279" s="12" t="s">
        <v>374</v>
      </c>
      <c r="L279" s="13" t="s">
        <v>556</v>
      </c>
      <c r="M279" s="12" t="str">
        <f ca="1">IF(T_MP3s[[#This Row],[ID]]=$G$3,RAND(),"")</f>
        <v/>
      </c>
    </row>
    <row r="280" spans="9:13" x14ac:dyDescent="0.25">
      <c r="I280" s="12">
        <v>71</v>
      </c>
      <c r="J280" s="13" t="s">
        <v>376</v>
      </c>
      <c r="K280" s="12" t="s">
        <v>374</v>
      </c>
      <c r="L280" s="13" t="s">
        <v>610</v>
      </c>
      <c r="M280" s="12" t="str">
        <f ca="1">IF(T_MP3s[[#This Row],[ID]]=$G$3,RAND(),"")</f>
        <v/>
      </c>
    </row>
    <row r="281" spans="9:13" x14ac:dyDescent="0.25">
      <c r="I281" s="12">
        <v>72</v>
      </c>
      <c r="J281" s="13" t="s">
        <v>378</v>
      </c>
      <c r="K281" s="12" t="s">
        <v>374</v>
      </c>
      <c r="L281" s="13" t="s">
        <v>543</v>
      </c>
      <c r="M281" s="12" t="str">
        <f ca="1">IF(T_MP3s[[#This Row],[ID]]=$G$3,RAND(),"")</f>
        <v/>
      </c>
    </row>
    <row r="282" spans="9:13" x14ac:dyDescent="0.25">
      <c r="I282" s="12">
        <v>72</v>
      </c>
      <c r="J282" s="13" t="s">
        <v>373</v>
      </c>
      <c r="K282" s="12" t="s">
        <v>374</v>
      </c>
      <c r="L282" s="13" t="s">
        <v>570</v>
      </c>
      <c r="M282" s="12" t="str">
        <f ca="1">IF(T_MP3s[[#This Row],[ID]]=$G$3,RAND(),"")</f>
        <v/>
      </c>
    </row>
    <row r="283" spans="9:13" x14ac:dyDescent="0.25">
      <c r="I283" s="12">
        <v>72</v>
      </c>
      <c r="J283" s="13" t="s">
        <v>392</v>
      </c>
      <c r="K283" s="12" t="s">
        <v>374</v>
      </c>
      <c r="L283" s="13" t="s">
        <v>698</v>
      </c>
      <c r="M283" s="12" t="str">
        <f ca="1">IF(T_MP3s[[#This Row],[ID]]=$G$3,RAND(),"")</f>
        <v/>
      </c>
    </row>
    <row r="284" spans="9:13" x14ac:dyDescent="0.25">
      <c r="I284" s="12">
        <v>72</v>
      </c>
      <c r="J284" s="13" t="s">
        <v>376</v>
      </c>
      <c r="K284" s="12" t="s">
        <v>374</v>
      </c>
      <c r="L284" s="13" t="s">
        <v>417</v>
      </c>
      <c r="M284" s="12" t="str">
        <f ca="1">IF(T_MP3s[[#This Row],[ID]]=$G$3,RAND(),"")</f>
        <v/>
      </c>
    </row>
    <row r="285" spans="9:13" x14ac:dyDescent="0.25">
      <c r="I285" s="12">
        <v>73</v>
      </c>
      <c r="J285" s="13" t="s">
        <v>378</v>
      </c>
      <c r="K285" s="12" t="s">
        <v>374</v>
      </c>
      <c r="L285" s="13" t="s">
        <v>918</v>
      </c>
      <c r="M285" s="12" t="str">
        <f ca="1">IF(T_MP3s[[#This Row],[ID]]=$G$3,RAND(),"")</f>
        <v/>
      </c>
    </row>
    <row r="286" spans="9:13" x14ac:dyDescent="0.25">
      <c r="I286" s="12">
        <v>73</v>
      </c>
      <c r="J286" s="13" t="s">
        <v>373</v>
      </c>
      <c r="K286" s="12" t="s">
        <v>374</v>
      </c>
      <c r="L286" s="13" t="s">
        <v>500</v>
      </c>
      <c r="M286" s="12" t="str">
        <f ca="1">IF(T_MP3s[[#This Row],[ID]]=$G$3,RAND(),"")</f>
        <v/>
      </c>
    </row>
    <row r="287" spans="9:13" x14ac:dyDescent="0.25">
      <c r="I287" s="12">
        <v>73</v>
      </c>
      <c r="J287" s="13" t="s">
        <v>392</v>
      </c>
      <c r="K287" s="12" t="s">
        <v>374</v>
      </c>
      <c r="L287" s="13" t="s">
        <v>676</v>
      </c>
      <c r="M287" s="12" t="str">
        <f ca="1">IF(T_MP3s[[#This Row],[ID]]=$G$3,RAND(),"")</f>
        <v/>
      </c>
    </row>
    <row r="288" spans="9:13" x14ac:dyDescent="0.25">
      <c r="I288" s="12">
        <v>73</v>
      </c>
      <c r="J288" s="13" t="s">
        <v>376</v>
      </c>
      <c r="K288" s="12" t="s">
        <v>374</v>
      </c>
      <c r="L288" s="13" t="s">
        <v>470</v>
      </c>
      <c r="M288" s="12" t="str">
        <f ca="1">IF(T_MP3s[[#This Row],[ID]]=$G$3,RAND(),"")</f>
        <v/>
      </c>
    </row>
    <row r="289" spans="9:13" x14ac:dyDescent="0.25">
      <c r="I289" s="12">
        <v>74</v>
      </c>
      <c r="J289" s="13" t="s">
        <v>378</v>
      </c>
      <c r="K289" s="12" t="s">
        <v>374</v>
      </c>
      <c r="L289" s="13" t="s">
        <v>931</v>
      </c>
      <c r="M289" s="12" t="str">
        <f ca="1">IF(T_MP3s[[#This Row],[ID]]=$G$3,RAND(),"")</f>
        <v/>
      </c>
    </row>
    <row r="290" spans="9:13" x14ac:dyDescent="0.25">
      <c r="I290" s="12">
        <v>74</v>
      </c>
      <c r="J290" s="13" t="s">
        <v>373</v>
      </c>
      <c r="K290" s="12" t="s">
        <v>374</v>
      </c>
      <c r="L290" s="13" t="s">
        <v>607</v>
      </c>
      <c r="M290" s="12" t="str">
        <f ca="1">IF(T_MP3s[[#This Row],[ID]]=$G$3,RAND(),"")</f>
        <v/>
      </c>
    </row>
    <row r="291" spans="9:13" x14ac:dyDescent="0.25">
      <c r="I291" s="12">
        <v>74</v>
      </c>
      <c r="J291" s="13" t="s">
        <v>392</v>
      </c>
      <c r="K291" s="12" t="s">
        <v>374</v>
      </c>
      <c r="L291" s="13" t="s">
        <v>672</v>
      </c>
      <c r="M291" s="12" t="str">
        <f ca="1">IF(T_MP3s[[#This Row],[ID]]=$G$3,RAND(),"")</f>
        <v/>
      </c>
    </row>
    <row r="292" spans="9:13" x14ac:dyDescent="0.25">
      <c r="I292" s="12">
        <v>74</v>
      </c>
      <c r="J292" s="13" t="s">
        <v>376</v>
      </c>
      <c r="K292" s="12" t="s">
        <v>374</v>
      </c>
      <c r="L292" s="13" t="s">
        <v>573</v>
      </c>
      <c r="M292" s="12" t="str">
        <f ca="1">IF(T_MP3s[[#This Row],[ID]]=$G$3,RAND(),"")</f>
        <v/>
      </c>
    </row>
    <row r="293" spans="9:13" x14ac:dyDescent="0.25">
      <c r="I293" s="12">
        <v>75</v>
      </c>
      <c r="J293" s="13" t="s">
        <v>378</v>
      </c>
      <c r="K293" s="12" t="s">
        <v>374</v>
      </c>
      <c r="L293" s="13" t="s">
        <v>509</v>
      </c>
      <c r="M293" s="12" t="str">
        <f ca="1">IF(T_MP3s[[#This Row],[ID]]=$G$3,RAND(),"")</f>
        <v/>
      </c>
    </row>
    <row r="294" spans="9:13" x14ac:dyDescent="0.25">
      <c r="I294" s="12">
        <v>75</v>
      </c>
      <c r="J294" s="13" t="s">
        <v>373</v>
      </c>
      <c r="K294" s="12" t="s">
        <v>374</v>
      </c>
      <c r="L294" s="13" t="s">
        <v>921</v>
      </c>
      <c r="M294" s="12" t="str">
        <f ca="1">IF(T_MP3s[[#This Row],[ID]]=$G$3,RAND(),"")</f>
        <v/>
      </c>
    </row>
    <row r="295" spans="9:13" x14ac:dyDescent="0.25">
      <c r="I295" s="12">
        <v>75</v>
      </c>
      <c r="J295" s="13" t="s">
        <v>392</v>
      </c>
      <c r="K295" s="12" t="s">
        <v>374</v>
      </c>
      <c r="L295" s="13" t="s">
        <v>750</v>
      </c>
      <c r="M295" s="12" t="str">
        <f ca="1">IF(T_MP3s[[#This Row],[ID]]=$G$3,RAND(),"")</f>
        <v/>
      </c>
    </row>
    <row r="296" spans="9:13" x14ac:dyDescent="0.25">
      <c r="I296" s="12">
        <v>75</v>
      </c>
      <c r="J296" s="13" t="s">
        <v>376</v>
      </c>
      <c r="K296" s="12" t="s">
        <v>374</v>
      </c>
      <c r="L296" s="13" t="s">
        <v>479</v>
      </c>
      <c r="M296" s="12" t="str">
        <f ca="1">IF(T_MP3s[[#This Row],[ID]]=$G$3,RAND(),"")</f>
        <v/>
      </c>
    </row>
    <row r="297" spans="9:13" x14ac:dyDescent="0.25">
      <c r="I297" s="12">
        <v>76</v>
      </c>
      <c r="J297" s="13" t="s">
        <v>378</v>
      </c>
      <c r="K297" s="12" t="s">
        <v>374</v>
      </c>
      <c r="L297" s="13" t="s">
        <v>916</v>
      </c>
      <c r="M297" s="12" t="str">
        <f ca="1">IF(T_MP3s[[#This Row],[ID]]=$G$3,RAND(),"")</f>
        <v/>
      </c>
    </row>
    <row r="298" spans="9:13" x14ac:dyDescent="0.25">
      <c r="I298" s="12">
        <v>76</v>
      </c>
      <c r="J298" s="13" t="s">
        <v>373</v>
      </c>
      <c r="K298" s="12" t="s">
        <v>374</v>
      </c>
      <c r="L298" s="13" t="s">
        <v>426</v>
      </c>
      <c r="M298" s="12" t="str">
        <f ca="1">IF(T_MP3s[[#This Row],[ID]]=$G$3,RAND(),"")</f>
        <v/>
      </c>
    </row>
    <row r="299" spans="9:13" x14ac:dyDescent="0.25">
      <c r="I299" s="12">
        <v>76</v>
      </c>
      <c r="J299" s="13" t="s">
        <v>392</v>
      </c>
      <c r="K299" s="12" t="s">
        <v>374</v>
      </c>
      <c r="L299" s="13" t="s">
        <v>655</v>
      </c>
      <c r="M299" s="12" t="str">
        <f ca="1">IF(T_MP3s[[#This Row],[ID]]=$G$3,RAND(),"")</f>
        <v/>
      </c>
    </row>
    <row r="300" spans="9:13" x14ac:dyDescent="0.25">
      <c r="I300" s="12">
        <v>76</v>
      </c>
      <c r="J300" s="13" t="s">
        <v>376</v>
      </c>
      <c r="K300" s="12" t="s">
        <v>374</v>
      </c>
      <c r="L300" s="13" t="s">
        <v>593</v>
      </c>
      <c r="M300" s="12" t="str">
        <f ca="1">IF(T_MP3s[[#This Row],[ID]]=$G$3,RAND(),"")</f>
        <v/>
      </c>
    </row>
    <row r="301" spans="9:13" x14ac:dyDescent="0.25">
      <c r="I301" s="12">
        <v>77</v>
      </c>
      <c r="J301" s="13" t="s">
        <v>378</v>
      </c>
      <c r="K301" s="12" t="s">
        <v>374</v>
      </c>
      <c r="L301" s="13" t="s">
        <v>597</v>
      </c>
      <c r="M301" s="12" t="str">
        <f ca="1">IF(T_MP3s[[#This Row],[ID]]=$G$3,RAND(),"")</f>
        <v/>
      </c>
    </row>
    <row r="302" spans="9:13" x14ac:dyDescent="0.25">
      <c r="I302" s="12">
        <v>77</v>
      </c>
      <c r="J302" s="13" t="s">
        <v>373</v>
      </c>
      <c r="K302" s="12" t="s">
        <v>374</v>
      </c>
      <c r="L302" s="13" t="s">
        <v>977</v>
      </c>
      <c r="M302" s="12" t="str">
        <f ca="1">IF(T_MP3s[[#This Row],[ID]]=$G$3,RAND(),"")</f>
        <v/>
      </c>
    </row>
    <row r="303" spans="9:13" x14ac:dyDescent="0.25">
      <c r="I303" s="12">
        <v>77</v>
      </c>
      <c r="J303" s="13" t="s">
        <v>392</v>
      </c>
      <c r="K303" s="12" t="s">
        <v>374</v>
      </c>
      <c r="L303" s="13" t="s">
        <v>510</v>
      </c>
      <c r="M303" s="12" t="str">
        <f ca="1">IF(T_MP3s[[#This Row],[ID]]=$G$3,RAND(),"")</f>
        <v/>
      </c>
    </row>
    <row r="304" spans="9:13" x14ac:dyDescent="0.25">
      <c r="I304" s="12">
        <v>77</v>
      </c>
      <c r="J304" s="13" t="s">
        <v>376</v>
      </c>
      <c r="K304" s="12" t="s">
        <v>374</v>
      </c>
      <c r="L304" s="13" t="s">
        <v>490</v>
      </c>
      <c r="M304" s="12" t="str">
        <f ca="1">IF(T_MP3s[[#This Row],[ID]]=$G$3,RAND(),"")</f>
        <v/>
      </c>
    </row>
    <row r="305" spans="9:13" x14ac:dyDescent="0.25">
      <c r="I305" s="12">
        <v>78</v>
      </c>
      <c r="J305" s="13" t="s">
        <v>378</v>
      </c>
      <c r="K305" s="12" t="s">
        <v>374</v>
      </c>
      <c r="L305" s="13" t="s">
        <v>680</v>
      </c>
      <c r="M305" s="12" t="str">
        <f ca="1">IF(T_MP3s[[#This Row],[ID]]=$G$3,RAND(),"")</f>
        <v/>
      </c>
    </row>
    <row r="306" spans="9:13" x14ac:dyDescent="0.25">
      <c r="I306" s="12">
        <v>78</v>
      </c>
      <c r="J306" s="13" t="s">
        <v>373</v>
      </c>
      <c r="K306" s="12" t="s">
        <v>374</v>
      </c>
      <c r="L306" s="13" t="s">
        <v>858</v>
      </c>
      <c r="M306" s="12" t="str">
        <f ca="1">IF(T_MP3s[[#This Row],[ID]]=$G$3,RAND(),"")</f>
        <v/>
      </c>
    </row>
    <row r="307" spans="9:13" x14ac:dyDescent="0.25">
      <c r="I307" s="12">
        <v>78</v>
      </c>
      <c r="J307" s="13" t="s">
        <v>392</v>
      </c>
      <c r="K307" s="12" t="s">
        <v>374</v>
      </c>
      <c r="L307" s="13" t="s">
        <v>876</v>
      </c>
      <c r="M307" s="12" t="str">
        <f ca="1">IF(T_MP3s[[#This Row],[ID]]=$G$3,RAND(),"")</f>
        <v/>
      </c>
    </row>
    <row r="308" spans="9:13" x14ac:dyDescent="0.25">
      <c r="I308" s="12">
        <v>78</v>
      </c>
      <c r="J308" s="13" t="s">
        <v>376</v>
      </c>
      <c r="K308" s="12" t="s">
        <v>374</v>
      </c>
      <c r="L308" s="13" t="s">
        <v>704</v>
      </c>
      <c r="M308" s="12" t="str">
        <f ca="1">IF(T_MP3s[[#This Row],[ID]]=$G$3,RAND(),"")</f>
        <v/>
      </c>
    </row>
    <row r="309" spans="9:13" x14ac:dyDescent="0.25">
      <c r="I309" s="12">
        <v>79</v>
      </c>
      <c r="J309" s="13" t="s">
        <v>378</v>
      </c>
      <c r="K309" s="12" t="s">
        <v>374</v>
      </c>
      <c r="L309" s="13" t="s">
        <v>898</v>
      </c>
      <c r="M309" s="12" t="str">
        <f ca="1">IF(T_MP3s[[#This Row],[ID]]=$G$3,RAND(),"")</f>
        <v/>
      </c>
    </row>
    <row r="310" spans="9:13" x14ac:dyDescent="0.25">
      <c r="I310" s="12">
        <v>79</v>
      </c>
      <c r="J310" s="13" t="s">
        <v>373</v>
      </c>
      <c r="K310" s="12" t="s">
        <v>374</v>
      </c>
      <c r="L310" s="13" t="s">
        <v>935</v>
      </c>
      <c r="M310" s="12" t="str">
        <f ca="1">IF(T_MP3s[[#This Row],[ID]]=$G$3,RAND(),"")</f>
        <v/>
      </c>
    </row>
    <row r="311" spans="9:13" x14ac:dyDescent="0.25">
      <c r="I311" s="12">
        <v>79</v>
      </c>
      <c r="J311" s="13" t="s">
        <v>392</v>
      </c>
      <c r="K311" s="12" t="s">
        <v>374</v>
      </c>
      <c r="L311" s="13" t="s">
        <v>818</v>
      </c>
      <c r="M311" s="12" t="str">
        <f ca="1">IF(T_MP3s[[#This Row],[ID]]=$G$3,RAND(),"")</f>
        <v/>
      </c>
    </row>
    <row r="312" spans="9:13" x14ac:dyDescent="0.25">
      <c r="I312" s="12">
        <v>79</v>
      </c>
      <c r="J312" s="13" t="s">
        <v>376</v>
      </c>
      <c r="K312" s="12" t="s">
        <v>374</v>
      </c>
      <c r="L312" s="13" t="s">
        <v>595</v>
      </c>
      <c r="M312" s="12" t="str">
        <f ca="1">IF(T_MP3s[[#This Row],[ID]]=$G$3,RAND(),"")</f>
        <v/>
      </c>
    </row>
    <row r="313" spans="9:13" x14ac:dyDescent="0.25">
      <c r="I313" s="12">
        <v>80</v>
      </c>
      <c r="J313" s="13" t="s">
        <v>378</v>
      </c>
      <c r="K313" s="12" t="s">
        <v>374</v>
      </c>
      <c r="L313" s="13" t="s">
        <v>552</v>
      </c>
      <c r="M313" s="12" t="str">
        <f ca="1">IF(T_MP3s[[#This Row],[ID]]=$G$3,RAND(),"")</f>
        <v/>
      </c>
    </row>
    <row r="314" spans="9:13" x14ac:dyDescent="0.25">
      <c r="I314" s="12">
        <v>80</v>
      </c>
      <c r="J314" s="13" t="s">
        <v>373</v>
      </c>
      <c r="K314" s="12" t="s">
        <v>374</v>
      </c>
      <c r="L314" s="13" t="s">
        <v>811</v>
      </c>
      <c r="M314" s="12" t="str">
        <f ca="1">IF(T_MP3s[[#This Row],[ID]]=$G$3,RAND(),"")</f>
        <v/>
      </c>
    </row>
    <row r="315" spans="9:13" x14ac:dyDescent="0.25">
      <c r="I315" s="12">
        <v>80</v>
      </c>
      <c r="J315" s="13" t="s">
        <v>392</v>
      </c>
      <c r="K315" s="12" t="s">
        <v>374</v>
      </c>
      <c r="L315" s="13" t="s">
        <v>557</v>
      </c>
      <c r="M315" s="12" t="str">
        <f ca="1">IF(T_MP3s[[#This Row],[ID]]=$G$3,RAND(),"")</f>
        <v/>
      </c>
    </row>
    <row r="316" spans="9:13" x14ac:dyDescent="0.25">
      <c r="I316" s="12">
        <v>80</v>
      </c>
      <c r="J316" s="13" t="s">
        <v>376</v>
      </c>
      <c r="K316" s="12" t="s">
        <v>374</v>
      </c>
      <c r="L316" s="13" t="s">
        <v>691</v>
      </c>
      <c r="M316" s="12" t="str">
        <f ca="1">IF(T_MP3s[[#This Row],[ID]]=$G$3,RAND(),"")</f>
        <v/>
      </c>
    </row>
    <row r="317" spans="9:13" x14ac:dyDescent="0.25">
      <c r="I317" s="12">
        <v>81</v>
      </c>
      <c r="J317" s="13" t="s">
        <v>378</v>
      </c>
      <c r="K317" s="12" t="s">
        <v>374</v>
      </c>
      <c r="L317" s="13" t="s">
        <v>971</v>
      </c>
      <c r="M317" s="12" t="str">
        <f ca="1">IF(T_MP3s[[#This Row],[ID]]=$G$3,RAND(),"")</f>
        <v/>
      </c>
    </row>
    <row r="318" spans="9:13" x14ac:dyDescent="0.25">
      <c r="I318" s="12">
        <v>81</v>
      </c>
      <c r="J318" s="13" t="s">
        <v>373</v>
      </c>
      <c r="K318" s="12" t="s">
        <v>374</v>
      </c>
      <c r="L318" s="13" t="s">
        <v>663</v>
      </c>
      <c r="M318" s="12" t="str">
        <f ca="1">IF(T_MP3s[[#This Row],[ID]]=$G$3,RAND(),"")</f>
        <v/>
      </c>
    </row>
    <row r="319" spans="9:13" x14ac:dyDescent="0.25">
      <c r="I319" s="12">
        <v>81</v>
      </c>
      <c r="J319" s="13" t="s">
        <v>392</v>
      </c>
      <c r="K319" s="12" t="s">
        <v>374</v>
      </c>
      <c r="L319" s="13" t="s">
        <v>1001</v>
      </c>
      <c r="M319" s="12" t="str">
        <f ca="1">IF(T_MP3s[[#This Row],[ID]]=$G$3,RAND(),"")</f>
        <v/>
      </c>
    </row>
    <row r="320" spans="9:13" x14ac:dyDescent="0.25">
      <c r="I320" s="12">
        <v>81</v>
      </c>
      <c r="J320" s="13" t="s">
        <v>376</v>
      </c>
      <c r="K320" s="12" t="s">
        <v>374</v>
      </c>
      <c r="L320" s="13" t="s">
        <v>513</v>
      </c>
      <c r="M320" s="12" t="str">
        <f ca="1">IF(T_MP3s[[#This Row],[ID]]=$G$3,RAND(),"")</f>
        <v/>
      </c>
    </row>
    <row r="321" spans="9:13" x14ac:dyDescent="0.25">
      <c r="I321" s="12">
        <v>82</v>
      </c>
      <c r="J321" s="13" t="s">
        <v>378</v>
      </c>
      <c r="K321" s="12" t="s">
        <v>374</v>
      </c>
      <c r="L321" s="13" t="s">
        <v>730</v>
      </c>
      <c r="M321" s="12" t="str">
        <f ca="1">IF(T_MP3s[[#This Row],[ID]]=$G$3,RAND(),"")</f>
        <v/>
      </c>
    </row>
    <row r="322" spans="9:13" x14ac:dyDescent="0.25">
      <c r="I322" s="12">
        <v>82</v>
      </c>
      <c r="J322" s="13" t="s">
        <v>373</v>
      </c>
      <c r="K322" s="12" t="s">
        <v>374</v>
      </c>
      <c r="L322" s="13" t="s">
        <v>611</v>
      </c>
      <c r="M322" s="12" t="str">
        <f ca="1">IF(T_MP3s[[#This Row],[ID]]=$G$3,RAND(),"")</f>
        <v/>
      </c>
    </row>
    <row r="323" spans="9:13" x14ac:dyDescent="0.25">
      <c r="I323" s="12">
        <v>82</v>
      </c>
      <c r="J323" s="13" t="s">
        <v>392</v>
      </c>
      <c r="K323" s="12" t="s">
        <v>374</v>
      </c>
      <c r="L323" s="13" t="s">
        <v>735</v>
      </c>
      <c r="M323" s="12" t="str">
        <f ca="1">IF(T_MP3s[[#This Row],[ID]]=$G$3,RAND(),"")</f>
        <v/>
      </c>
    </row>
    <row r="324" spans="9:13" x14ac:dyDescent="0.25">
      <c r="I324" s="12">
        <v>82</v>
      </c>
      <c r="J324" s="13" t="s">
        <v>376</v>
      </c>
      <c r="K324" s="12" t="s">
        <v>374</v>
      </c>
      <c r="L324" s="13" t="s">
        <v>383</v>
      </c>
      <c r="M324" s="12" t="str">
        <f ca="1">IF(T_MP3s[[#This Row],[ID]]=$G$3,RAND(),"")</f>
        <v/>
      </c>
    </row>
    <row r="325" spans="9:13" x14ac:dyDescent="0.25">
      <c r="I325" s="12">
        <v>83</v>
      </c>
      <c r="J325" s="13" t="s">
        <v>378</v>
      </c>
      <c r="K325" s="12" t="s">
        <v>374</v>
      </c>
      <c r="L325" s="13" t="s">
        <v>547</v>
      </c>
      <c r="M325" s="12" t="str">
        <f ca="1">IF(T_MP3s[[#This Row],[ID]]=$G$3,RAND(),"")</f>
        <v/>
      </c>
    </row>
    <row r="326" spans="9:13" x14ac:dyDescent="0.25">
      <c r="I326" s="12">
        <v>83</v>
      </c>
      <c r="J326" s="13" t="s">
        <v>373</v>
      </c>
      <c r="K326" s="12" t="s">
        <v>374</v>
      </c>
      <c r="L326" s="13" t="s">
        <v>706</v>
      </c>
      <c r="M326" s="12" t="str">
        <f ca="1">IF(T_MP3s[[#This Row],[ID]]=$G$3,RAND(),"")</f>
        <v/>
      </c>
    </row>
    <row r="327" spans="9:13" x14ac:dyDescent="0.25">
      <c r="I327" s="12">
        <v>83</v>
      </c>
      <c r="J327" s="13" t="s">
        <v>392</v>
      </c>
      <c r="K327" s="12" t="s">
        <v>374</v>
      </c>
      <c r="L327" s="13" t="s">
        <v>482</v>
      </c>
      <c r="M327" s="12" t="str">
        <f ca="1">IF(T_MP3s[[#This Row],[ID]]=$G$3,RAND(),"")</f>
        <v/>
      </c>
    </row>
    <row r="328" spans="9:13" x14ac:dyDescent="0.25">
      <c r="I328" s="12">
        <v>83</v>
      </c>
      <c r="J328" s="13" t="s">
        <v>376</v>
      </c>
      <c r="K328" s="12" t="s">
        <v>374</v>
      </c>
      <c r="L328" s="13" t="s">
        <v>395</v>
      </c>
      <c r="M328" s="12" t="str">
        <f ca="1">IF(T_MP3s[[#This Row],[ID]]=$G$3,RAND(),"")</f>
        <v/>
      </c>
    </row>
    <row r="329" spans="9:13" x14ac:dyDescent="0.25">
      <c r="I329" s="12">
        <v>84</v>
      </c>
      <c r="J329" s="13" t="s">
        <v>378</v>
      </c>
      <c r="K329" s="12" t="s">
        <v>374</v>
      </c>
      <c r="L329" s="13" t="s">
        <v>894</v>
      </c>
      <c r="M329" s="12" t="str">
        <f ca="1">IF(T_MP3s[[#This Row],[ID]]=$G$3,RAND(),"")</f>
        <v/>
      </c>
    </row>
    <row r="330" spans="9:13" x14ac:dyDescent="0.25">
      <c r="I330" s="12">
        <v>84</v>
      </c>
      <c r="J330" s="13" t="s">
        <v>373</v>
      </c>
      <c r="K330" s="12" t="s">
        <v>374</v>
      </c>
      <c r="L330" s="13" t="s">
        <v>690</v>
      </c>
      <c r="M330" s="12" t="str">
        <f ca="1">IF(T_MP3s[[#This Row],[ID]]=$G$3,RAND(),"")</f>
        <v/>
      </c>
    </row>
    <row r="331" spans="9:13" x14ac:dyDescent="0.25">
      <c r="I331" s="12">
        <v>84</v>
      </c>
      <c r="J331" s="13" t="s">
        <v>392</v>
      </c>
      <c r="K331" s="12" t="s">
        <v>374</v>
      </c>
      <c r="L331" s="13" t="s">
        <v>980</v>
      </c>
      <c r="M331" s="12" t="str">
        <f ca="1">IF(T_MP3s[[#This Row],[ID]]=$G$3,RAND(),"")</f>
        <v/>
      </c>
    </row>
    <row r="332" spans="9:13" x14ac:dyDescent="0.25">
      <c r="I332" s="12">
        <v>84</v>
      </c>
      <c r="J332" s="13" t="s">
        <v>376</v>
      </c>
      <c r="K332" s="12" t="s">
        <v>374</v>
      </c>
      <c r="L332" s="13" t="s">
        <v>476</v>
      </c>
      <c r="M332" s="12" t="str">
        <f ca="1">IF(T_MP3s[[#This Row],[ID]]=$G$3,RAND(),"")</f>
        <v/>
      </c>
    </row>
    <row r="333" spans="9:13" x14ac:dyDescent="0.25">
      <c r="I333" s="12">
        <v>85</v>
      </c>
      <c r="J333" s="13" t="s">
        <v>378</v>
      </c>
      <c r="K333" s="12" t="s">
        <v>1011</v>
      </c>
      <c r="L333" s="13" t="s">
        <v>721</v>
      </c>
      <c r="M333" s="12" t="str">
        <f ca="1">IF(T_MP3s[[#This Row],[ID]]=$G$3,RAND(),"")</f>
        <v/>
      </c>
    </row>
    <row r="334" spans="9:13" x14ac:dyDescent="0.25">
      <c r="I334" s="12">
        <v>85</v>
      </c>
      <c r="J334" s="13" t="s">
        <v>373</v>
      </c>
      <c r="K334" s="12" t="s">
        <v>1011</v>
      </c>
      <c r="L334" s="13" t="s">
        <v>852</v>
      </c>
      <c r="M334" s="12" t="str">
        <f ca="1">IF(T_MP3s[[#This Row],[ID]]=$G$3,RAND(),"")</f>
        <v/>
      </c>
    </row>
    <row r="335" spans="9:13" x14ac:dyDescent="0.25">
      <c r="I335" s="12">
        <v>85</v>
      </c>
      <c r="J335" s="13" t="s">
        <v>392</v>
      </c>
      <c r="K335" s="12" t="s">
        <v>1011</v>
      </c>
      <c r="L335" s="13" t="s">
        <v>966</v>
      </c>
      <c r="M335" s="12" t="str">
        <f ca="1">IF(T_MP3s[[#This Row],[ID]]=$G$3,RAND(),"")</f>
        <v/>
      </c>
    </row>
    <row r="336" spans="9:13" x14ac:dyDescent="0.25">
      <c r="I336" s="12">
        <v>85</v>
      </c>
      <c r="J336" s="13" t="s">
        <v>376</v>
      </c>
      <c r="K336" s="12" t="s">
        <v>1011</v>
      </c>
      <c r="L336" s="13" t="s">
        <v>807</v>
      </c>
      <c r="M336" s="12" t="str">
        <f ca="1">IF(T_MP3s[[#This Row],[ID]]=$G$3,RAND(),"")</f>
        <v/>
      </c>
    </row>
    <row r="337" spans="9:13" x14ac:dyDescent="0.25">
      <c r="I337" s="12">
        <v>86</v>
      </c>
      <c r="J337" s="13" t="s">
        <v>378</v>
      </c>
      <c r="K337" s="12" t="s">
        <v>1026</v>
      </c>
      <c r="L337" s="13" t="s">
        <v>778</v>
      </c>
      <c r="M337" s="12" t="str">
        <f ca="1">IF(T_MP3s[[#This Row],[ID]]=$G$3,RAND(),"")</f>
        <v/>
      </c>
    </row>
    <row r="338" spans="9:13" x14ac:dyDescent="0.25">
      <c r="I338" s="12">
        <v>86</v>
      </c>
      <c r="J338" s="13" t="s">
        <v>373</v>
      </c>
      <c r="K338" s="12" t="s">
        <v>1026</v>
      </c>
      <c r="L338" s="13" t="s">
        <v>972</v>
      </c>
      <c r="M338" s="12" t="str">
        <f ca="1">IF(T_MP3s[[#This Row],[ID]]=$G$3,RAND(),"")</f>
        <v/>
      </c>
    </row>
    <row r="339" spans="9:13" x14ac:dyDescent="0.25">
      <c r="I339" s="12">
        <v>86</v>
      </c>
      <c r="J339" s="13" t="s">
        <v>392</v>
      </c>
      <c r="K339" s="12" t="s">
        <v>1026</v>
      </c>
      <c r="L339" s="13" t="s">
        <v>911</v>
      </c>
      <c r="M339" s="12" t="str">
        <f ca="1">IF(T_MP3s[[#This Row],[ID]]=$G$3,RAND(),"")</f>
        <v/>
      </c>
    </row>
    <row r="340" spans="9:13" x14ac:dyDescent="0.25">
      <c r="I340" s="12">
        <v>86</v>
      </c>
      <c r="J340" s="13" t="s">
        <v>376</v>
      </c>
      <c r="K340" s="12" t="s">
        <v>1026</v>
      </c>
      <c r="L340" s="13" t="s">
        <v>402</v>
      </c>
      <c r="M340" s="12" t="str">
        <f ca="1">IF(T_MP3s[[#This Row],[ID]]=$G$3,RAND(),"")</f>
        <v/>
      </c>
    </row>
    <row r="341" spans="9:13" x14ac:dyDescent="0.25">
      <c r="I341" s="12">
        <v>87</v>
      </c>
      <c r="J341" s="13" t="s">
        <v>378</v>
      </c>
      <c r="K341" s="12" t="s">
        <v>1024</v>
      </c>
      <c r="L341" s="13" t="s">
        <v>390</v>
      </c>
      <c r="M341" s="12" t="str">
        <f ca="1">IF(T_MP3s[[#This Row],[ID]]=$G$3,RAND(),"")</f>
        <v/>
      </c>
    </row>
    <row r="342" spans="9:13" x14ac:dyDescent="0.25">
      <c r="I342" s="12">
        <v>87</v>
      </c>
      <c r="J342" s="13" t="s">
        <v>378</v>
      </c>
      <c r="K342" s="12" t="s">
        <v>1058</v>
      </c>
      <c r="L342" s="13" t="s">
        <v>717</v>
      </c>
      <c r="M342" s="12" t="str">
        <f ca="1">IF(T_MP3s[[#This Row],[ID]]=$G$3,RAND(),"")</f>
        <v/>
      </c>
    </row>
    <row r="343" spans="9:13" x14ac:dyDescent="0.25">
      <c r="I343" s="12">
        <v>87</v>
      </c>
      <c r="J343" s="13" t="s">
        <v>373</v>
      </c>
      <c r="K343" s="12" t="s">
        <v>1023</v>
      </c>
      <c r="L343" s="13" t="s">
        <v>694</v>
      </c>
      <c r="M343" s="12" t="str">
        <f ca="1">IF(T_MP3s[[#This Row],[ID]]=$G$3,RAND(),"")</f>
        <v/>
      </c>
    </row>
    <row r="344" spans="9:13" x14ac:dyDescent="0.25">
      <c r="I344" s="12">
        <v>87</v>
      </c>
      <c r="J344" s="13" t="s">
        <v>373</v>
      </c>
      <c r="K344" s="12" t="s">
        <v>1024</v>
      </c>
      <c r="L344" s="13" t="s">
        <v>502</v>
      </c>
      <c r="M344" s="12" t="str">
        <f ca="1">IF(T_MP3s[[#This Row],[ID]]=$G$3,RAND(),"")</f>
        <v/>
      </c>
    </row>
    <row r="345" spans="9:13" x14ac:dyDescent="0.25">
      <c r="I345" s="12">
        <v>87</v>
      </c>
      <c r="J345" s="13" t="s">
        <v>373</v>
      </c>
      <c r="K345" s="12" t="s">
        <v>1058</v>
      </c>
      <c r="L345" s="13" t="s">
        <v>997</v>
      </c>
      <c r="M345" s="12" t="str">
        <f ca="1">IF(T_MP3s[[#This Row],[ID]]=$G$3,RAND(),"")</f>
        <v/>
      </c>
    </row>
    <row r="346" spans="9:13" x14ac:dyDescent="0.25">
      <c r="I346" s="12">
        <v>87</v>
      </c>
      <c r="J346" s="13" t="s">
        <v>392</v>
      </c>
      <c r="K346" s="12" t="s">
        <v>1023</v>
      </c>
      <c r="L346" s="13" t="s">
        <v>627</v>
      </c>
      <c r="M346" s="12" t="str">
        <f ca="1">IF(T_MP3s[[#This Row],[ID]]=$G$3,RAND(),"")</f>
        <v/>
      </c>
    </row>
    <row r="347" spans="9:13" x14ac:dyDescent="0.25">
      <c r="I347" s="12">
        <v>87</v>
      </c>
      <c r="J347" s="13" t="s">
        <v>392</v>
      </c>
      <c r="K347" s="12" t="s">
        <v>1024</v>
      </c>
      <c r="L347" s="13" t="s">
        <v>819</v>
      </c>
      <c r="M347" s="12" t="str">
        <f ca="1">IF(T_MP3s[[#This Row],[ID]]=$G$3,RAND(),"")</f>
        <v/>
      </c>
    </row>
    <row r="348" spans="9:13" x14ac:dyDescent="0.25">
      <c r="I348" s="12">
        <v>87</v>
      </c>
      <c r="J348" s="13" t="s">
        <v>392</v>
      </c>
      <c r="K348" s="12" t="s">
        <v>1058</v>
      </c>
      <c r="L348" s="13" t="s">
        <v>471</v>
      </c>
      <c r="M348" s="12" t="str">
        <f ca="1">IF(T_MP3s[[#This Row],[ID]]=$G$3,RAND(),"")</f>
        <v/>
      </c>
    </row>
    <row r="349" spans="9:13" x14ac:dyDescent="0.25">
      <c r="I349" s="12">
        <v>87</v>
      </c>
      <c r="J349" s="13" t="s">
        <v>376</v>
      </c>
      <c r="K349" s="12" t="s">
        <v>1024</v>
      </c>
      <c r="L349" s="13" t="s">
        <v>408</v>
      </c>
      <c r="M349" s="12" t="str">
        <f ca="1">IF(T_MP3s[[#This Row],[ID]]=$G$3,RAND(),"")</f>
        <v/>
      </c>
    </row>
    <row r="350" spans="9:13" x14ac:dyDescent="0.25">
      <c r="I350" s="12">
        <v>87</v>
      </c>
      <c r="J350" s="13" t="s">
        <v>376</v>
      </c>
      <c r="K350" s="12" t="s">
        <v>1058</v>
      </c>
      <c r="L350" s="13" t="s">
        <v>523</v>
      </c>
      <c r="M350" s="12" t="str">
        <f ca="1">IF(T_MP3s[[#This Row],[ID]]=$G$3,RAND(),"")</f>
        <v/>
      </c>
    </row>
    <row r="351" spans="9:13" x14ac:dyDescent="0.25">
      <c r="I351" s="12">
        <v>88</v>
      </c>
      <c r="J351" s="13" t="s">
        <v>378</v>
      </c>
      <c r="K351" s="12" t="s">
        <v>1063</v>
      </c>
      <c r="L351" s="13" t="s">
        <v>784</v>
      </c>
      <c r="M351" s="12" t="str">
        <f ca="1">IF(T_MP3s[[#This Row],[ID]]=$G$3,RAND(),"")</f>
        <v/>
      </c>
    </row>
    <row r="352" spans="9:13" x14ac:dyDescent="0.25">
      <c r="I352" s="12">
        <v>88</v>
      </c>
      <c r="J352" s="13" t="s">
        <v>378</v>
      </c>
      <c r="K352" s="12" t="s">
        <v>1066</v>
      </c>
      <c r="L352" s="13" t="s">
        <v>497</v>
      </c>
      <c r="M352" s="12" t="str">
        <f ca="1">IF(T_MP3s[[#This Row],[ID]]=$G$3,RAND(),"")</f>
        <v/>
      </c>
    </row>
    <row r="353" spans="9:13" x14ac:dyDescent="0.25">
      <c r="I353" s="12">
        <v>88</v>
      </c>
      <c r="J353" s="13" t="s">
        <v>373</v>
      </c>
      <c r="K353" s="12" t="s">
        <v>374</v>
      </c>
      <c r="L353" s="13" t="s">
        <v>387</v>
      </c>
      <c r="M353" s="12" t="str">
        <f ca="1">IF(T_MP3s[[#This Row],[ID]]=$G$3,RAND(),"")</f>
        <v/>
      </c>
    </row>
    <row r="354" spans="9:13" x14ac:dyDescent="0.25">
      <c r="I354" s="12">
        <v>88</v>
      </c>
      <c r="J354" s="13" t="s">
        <v>392</v>
      </c>
      <c r="K354" s="12" t="s">
        <v>374</v>
      </c>
      <c r="L354" s="13" t="s">
        <v>696</v>
      </c>
      <c r="M354" s="12" t="str">
        <f ca="1">IF(T_MP3s[[#This Row],[ID]]=$G$3,RAND(),"")</f>
        <v/>
      </c>
    </row>
    <row r="355" spans="9:13" x14ac:dyDescent="0.25">
      <c r="I355" s="12">
        <v>88</v>
      </c>
      <c r="J355" s="13" t="s">
        <v>376</v>
      </c>
      <c r="K355" s="12" t="s">
        <v>1063</v>
      </c>
      <c r="L355" s="13" t="s">
        <v>475</v>
      </c>
      <c r="M355" s="12" t="str">
        <f ca="1">IF(T_MP3s[[#This Row],[ID]]=$G$3,RAND(),"")</f>
        <v/>
      </c>
    </row>
    <row r="356" spans="9:13" x14ac:dyDescent="0.25">
      <c r="I356" s="12">
        <v>88</v>
      </c>
      <c r="J356" s="13" t="s">
        <v>376</v>
      </c>
      <c r="K356" s="12" t="s">
        <v>1066</v>
      </c>
      <c r="L356" s="13" t="s">
        <v>580</v>
      </c>
      <c r="M356" s="12" t="str">
        <f ca="1">IF(T_MP3s[[#This Row],[ID]]=$G$3,RAND(),"")</f>
        <v/>
      </c>
    </row>
    <row r="357" spans="9:13" x14ac:dyDescent="0.25">
      <c r="I357" s="12">
        <v>89</v>
      </c>
      <c r="J357" s="13" t="s">
        <v>378</v>
      </c>
      <c r="K357" s="12" t="s">
        <v>1020</v>
      </c>
      <c r="L357" s="13" t="s">
        <v>507</v>
      </c>
      <c r="M357" s="12" t="str">
        <f ca="1">IF(T_MP3s[[#This Row],[ID]]=$G$3,RAND(),"")</f>
        <v/>
      </c>
    </row>
    <row r="358" spans="9:13" x14ac:dyDescent="0.25">
      <c r="I358" s="12">
        <v>89</v>
      </c>
      <c r="J358" s="13" t="s">
        <v>378</v>
      </c>
      <c r="K358" s="12" t="s">
        <v>1057</v>
      </c>
      <c r="L358" s="13" t="s">
        <v>454</v>
      </c>
      <c r="M358" s="12" t="str">
        <f ca="1">IF(T_MP3s[[#This Row],[ID]]=$G$3,RAND(),"")</f>
        <v/>
      </c>
    </row>
    <row r="359" spans="9:13" x14ac:dyDescent="0.25">
      <c r="I359" s="12">
        <v>89</v>
      </c>
      <c r="J359" s="13" t="s">
        <v>373</v>
      </c>
      <c r="K359" s="12" t="s">
        <v>1020</v>
      </c>
      <c r="L359" s="13" t="s">
        <v>537</v>
      </c>
      <c r="M359" s="12" t="str">
        <f ca="1">IF(T_MP3s[[#This Row],[ID]]=$G$3,RAND(),"")</f>
        <v/>
      </c>
    </row>
    <row r="360" spans="9:13" x14ac:dyDescent="0.25">
      <c r="I360" s="12">
        <v>89</v>
      </c>
      <c r="J360" s="13" t="s">
        <v>373</v>
      </c>
      <c r="K360" s="12" t="s">
        <v>1057</v>
      </c>
      <c r="L360" s="13" t="s">
        <v>615</v>
      </c>
      <c r="M360" s="12" t="str">
        <f ca="1">IF(T_MP3s[[#This Row],[ID]]=$G$3,RAND(),"")</f>
        <v/>
      </c>
    </row>
    <row r="361" spans="9:13" x14ac:dyDescent="0.25">
      <c r="I361" s="12">
        <v>89</v>
      </c>
      <c r="J361" s="13" t="s">
        <v>392</v>
      </c>
      <c r="K361" s="12" t="s">
        <v>1020</v>
      </c>
      <c r="L361" s="13" t="s">
        <v>449</v>
      </c>
      <c r="M361" s="12" t="str">
        <f ca="1">IF(T_MP3s[[#This Row],[ID]]=$G$3,RAND(),"")</f>
        <v/>
      </c>
    </row>
    <row r="362" spans="9:13" x14ac:dyDescent="0.25">
      <c r="I362" s="12">
        <v>89</v>
      </c>
      <c r="J362" s="13" t="s">
        <v>392</v>
      </c>
      <c r="K362" s="12" t="s">
        <v>1057</v>
      </c>
      <c r="L362" s="13" t="s">
        <v>647</v>
      </c>
      <c r="M362" s="12" t="str">
        <f ca="1">IF(T_MP3s[[#This Row],[ID]]=$G$3,RAND(),"")</f>
        <v/>
      </c>
    </row>
    <row r="363" spans="9:13" x14ac:dyDescent="0.25">
      <c r="I363" s="12">
        <v>89</v>
      </c>
      <c r="J363" s="13" t="s">
        <v>376</v>
      </c>
      <c r="K363" s="12" t="s">
        <v>1020</v>
      </c>
      <c r="L363" s="13" t="s">
        <v>477</v>
      </c>
      <c r="M363" s="12" t="str">
        <f ca="1">IF(T_MP3s[[#This Row],[ID]]=$G$3,RAND(),"")</f>
        <v/>
      </c>
    </row>
    <row r="364" spans="9:13" x14ac:dyDescent="0.25">
      <c r="I364" s="12">
        <v>89</v>
      </c>
      <c r="J364" s="13" t="s">
        <v>376</v>
      </c>
      <c r="K364" s="12" t="s">
        <v>1057</v>
      </c>
      <c r="L364" s="13" t="s">
        <v>883</v>
      </c>
      <c r="M364" s="12" t="str">
        <f ca="1">IF(T_MP3s[[#This Row],[ID]]=$G$3,RAND(),"")</f>
        <v/>
      </c>
    </row>
    <row r="365" spans="9:13" x14ac:dyDescent="0.25">
      <c r="I365" s="12">
        <v>90</v>
      </c>
      <c r="J365" s="13" t="s">
        <v>378</v>
      </c>
      <c r="K365" s="12" t="s">
        <v>1019</v>
      </c>
      <c r="L365" s="13" t="s">
        <v>396</v>
      </c>
      <c r="M365" s="12" t="str">
        <f ca="1">IF(T_MP3s[[#This Row],[ID]]=$G$3,RAND(),"")</f>
        <v/>
      </c>
    </row>
    <row r="366" spans="9:13" x14ac:dyDescent="0.25">
      <c r="I366" s="12">
        <v>90</v>
      </c>
      <c r="J366" s="13" t="s">
        <v>378</v>
      </c>
      <c r="K366" s="12" t="s">
        <v>1021</v>
      </c>
      <c r="L366" s="13" t="s">
        <v>707</v>
      </c>
      <c r="M366" s="12" t="str">
        <f ca="1">IF(T_MP3s[[#This Row],[ID]]=$G$3,RAND(),"")</f>
        <v/>
      </c>
    </row>
    <row r="367" spans="9:13" x14ac:dyDescent="0.25">
      <c r="I367" s="12">
        <v>90</v>
      </c>
      <c r="J367" s="13" t="s">
        <v>373</v>
      </c>
      <c r="K367" s="12" t="s">
        <v>1021</v>
      </c>
      <c r="L367" s="13" t="s">
        <v>577</v>
      </c>
      <c r="M367" s="12" t="str">
        <f ca="1">IF(T_MP3s[[#This Row],[ID]]=$G$3,RAND(),"")</f>
        <v/>
      </c>
    </row>
    <row r="368" spans="9:13" x14ac:dyDescent="0.25">
      <c r="I368" s="12">
        <v>90</v>
      </c>
      <c r="J368" s="13" t="s">
        <v>392</v>
      </c>
      <c r="K368" s="12" t="s">
        <v>1021</v>
      </c>
      <c r="L368" s="13" t="s">
        <v>983</v>
      </c>
      <c r="M368" s="12" t="str">
        <f ca="1">IF(T_MP3s[[#This Row],[ID]]=$G$3,RAND(),"")</f>
        <v/>
      </c>
    </row>
    <row r="369" spans="9:13" x14ac:dyDescent="0.25">
      <c r="I369" s="12">
        <v>90</v>
      </c>
      <c r="J369" s="13" t="s">
        <v>376</v>
      </c>
      <c r="K369" s="12" t="s">
        <v>1019</v>
      </c>
      <c r="L369" s="13" t="s">
        <v>837</v>
      </c>
      <c r="M369" s="12" t="str">
        <f ca="1">IF(T_MP3s[[#This Row],[ID]]=$G$3,RAND(),"")</f>
        <v/>
      </c>
    </row>
    <row r="370" spans="9:13" x14ac:dyDescent="0.25">
      <c r="I370" s="12">
        <v>90</v>
      </c>
      <c r="J370" s="13" t="s">
        <v>376</v>
      </c>
      <c r="K370" s="12" t="s">
        <v>1021</v>
      </c>
      <c r="L370" s="13" t="s">
        <v>743</v>
      </c>
      <c r="M370" s="12" t="str">
        <f ca="1">IF(T_MP3s[[#This Row],[ID]]=$G$3,RAND(),"")</f>
        <v/>
      </c>
    </row>
    <row r="371" spans="9:13" x14ac:dyDescent="0.25">
      <c r="I371" s="12">
        <v>91</v>
      </c>
      <c r="J371" s="13" t="s">
        <v>378</v>
      </c>
      <c r="K371" s="12" t="s">
        <v>1062</v>
      </c>
      <c r="L371" s="13" t="s">
        <v>451</v>
      </c>
      <c r="M371" s="12" t="str">
        <f ca="1">IF(T_MP3s[[#This Row],[ID]]=$G$3,RAND(),"")</f>
        <v/>
      </c>
    </row>
    <row r="372" spans="9:13" x14ac:dyDescent="0.25">
      <c r="I372" s="12">
        <v>91</v>
      </c>
      <c r="J372" s="13" t="s">
        <v>378</v>
      </c>
      <c r="K372" s="12" t="s">
        <v>1065</v>
      </c>
      <c r="L372" s="13" t="s">
        <v>603</v>
      </c>
      <c r="M372" s="12" t="str">
        <f ca="1">IF(T_MP3s[[#This Row],[ID]]=$G$3,RAND(),"")</f>
        <v/>
      </c>
    </row>
    <row r="373" spans="9:13" x14ac:dyDescent="0.25">
      <c r="I373" s="12">
        <v>91</v>
      </c>
      <c r="J373" s="13" t="s">
        <v>373</v>
      </c>
      <c r="K373" s="12" t="s">
        <v>374</v>
      </c>
      <c r="L373" s="13" t="s">
        <v>419</v>
      </c>
      <c r="M373" s="12" t="str">
        <f ca="1">IF(T_MP3s[[#This Row],[ID]]=$G$3,RAND(),"")</f>
        <v/>
      </c>
    </row>
    <row r="374" spans="9:13" x14ac:dyDescent="0.25">
      <c r="I374" s="12">
        <v>91</v>
      </c>
      <c r="J374" s="13" t="s">
        <v>392</v>
      </c>
      <c r="K374" s="12" t="s">
        <v>374</v>
      </c>
      <c r="L374" s="13" t="s">
        <v>638</v>
      </c>
      <c r="M374" s="12" t="str">
        <f ca="1">IF(T_MP3s[[#This Row],[ID]]=$G$3,RAND(),"")</f>
        <v/>
      </c>
    </row>
    <row r="375" spans="9:13" x14ac:dyDescent="0.25">
      <c r="I375" s="12">
        <v>91</v>
      </c>
      <c r="J375" s="13" t="s">
        <v>376</v>
      </c>
      <c r="K375" s="12" t="s">
        <v>1062</v>
      </c>
      <c r="L375" s="13" t="s">
        <v>377</v>
      </c>
      <c r="M375" s="12" t="str">
        <f ca="1">IF(T_MP3s[[#This Row],[ID]]=$G$3,RAND(),"")</f>
        <v/>
      </c>
    </row>
    <row r="376" spans="9:13" x14ac:dyDescent="0.25">
      <c r="I376" s="12">
        <v>91</v>
      </c>
      <c r="J376" s="13" t="s">
        <v>376</v>
      </c>
      <c r="K376" s="12" t="s">
        <v>1065</v>
      </c>
      <c r="L376" s="13" t="s">
        <v>464</v>
      </c>
      <c r="M376" s="12" t="str">
        <f ca="1">IF(T_MP3s[[#This Row],[ID]]=$G$3,RAND(),"")</f>
        <v/>
      </c>
    </row>
    <row r="377" spans="9:13" x14ac:dyDescent="0.25">
      <c r="I377" s="12">
        <v>92</v>
      </c>
      <c r="J377" s="13" t="s">
        <v>378</v>
      </c>
      <c r="K377" s="12" t="s">
        <v>1018</v>
      </c>
      <c r="L377" s="13" t="s">
        <v>617</v>
      </c>
      <c r="M377" s="12" t="str">
        <f ca="1">IF(T_MP3s[[#This Row],[ID]]=$G$3,RAND(),"")</f>
        <v/>
      </c>
    </row>
    <row r="378" spans="9:13" x14ac:dyDescent="0.25">
      <c r="I378" s="12">
        <v>92</v>
      </c>
      <c r="J378" s="13" t="s">
        <v>378</v>
      </c>
      <c r="K378" s="12" t="s">
        <v>1056</v>
      </c>
      <c r="L378" s="13" t="s">
        <v>741</v>
      </c>
      <c r="M378" s="12" t="str">
        <f ca="1">IF(T_MP3s[[#This Row],[ID]]=$G$3,RAND(),"")</f>
        <v/>
      </c>
    </row>
    <row r="379" spans="9:13" x14ac:dyDescent="0.25">
      <c r="I379" s="12">
        <v>92</v>
      </c>
      <c r="J379" s="13" t="s">
        <v>373</v>
      </c>
      <c r="K379" s="12" t="s">
        <v>1018</v>
      </c>
      <c r="L379" s="13" t="s">
        <v>545</v>
      </c>
      <c r="M379" s="12" t="str">
        <f ca="1">IF(T_MP3s[[#This Row],[ID]]=$G$3,RAND(),"")</f>
        <v/>
      </c>
    </row>
    <row r="380" spans="9:13" x14ac:dyDescent="0.25">
      <c r="I380" s="12">
        <v>92</v>
      </c>
      <c r="J380" s="13" t="s">
        <v>373</v>
      </c>
      <c r="K380" s="12" t="s">
        <v>1056</v>
      </c>
      <c r="L380" s="13" t="s">
        <v>567</v>
      </c>
      <c r="M380" s="12" t="str">
        <f ca="1">IF(T_MP3s[[#This Row],[ID]]=$G$3,RAND(),"")</f>
        <v/>
      </c>
    </row>
    <row r="381" spans="9:13" x14ac:dyDescent="0.25">
      <c r="I381" s="12">
        <v>92</v>
      </c>
      <c r="J381" s="13" t="s">
        <v>392</v>
      </c>
      <c r="K381" s="12" t="s">
        <v>1018</v>
      </c>
      <c r="L381" s="13" t="s">
        <v>839</v>
      </c>
      <c r="M381" s="12" t="str">
        <f ca="1">IF(T_MP3s[[#This Row],[ID]]=$G$3,RAND(),"")</f>
        <v/>
      </c>
    </row>
    <row r="382" spans="9:13" x14ac:dyDescent="0.25">
      <c r="I382" s="12">
        <v>92</v>
      </c>
      <c r="J382" s="13" t="s">
        <v>392</v>
      </c>
      <c r="K382" s="12" t="s">
        <v>1056</v>
      </c>
      <c r="L382" s="13" t="s">
        <v>1004</v>
      </c>
      <c r="M382" s="12" t="str">
        <f ca="1">IF(T_MP3s[[#This Row],[ID]]=$G$3,RAND(),"")</f>
        <v/>
      </c>
    </row>
    <row r="383" spans="9:13" x14ac:dyDescent="0.25">
      <c r="I383" s="12">
        <v>92</v>
      </c>
      <c r="J383" s="13" t="s">
        <v>376</v>
      </c>
      <c r="K383" s="12" t="s">
        <v>1018</v>
      </c>
      <c r="L383" s="13" t="s">
        <v>867</v>
      </c>
      <c r="M383" s="12" t="str">
        <f ca="1">IF(T_MP3s[[#This Row],[ID]]=$G$3,RAND(),"")</f>
        <v/>
      </c>
    </row>
    <row r="384" spans="9:13" x14ac:dyDescent="0.25">
      <c r="I384" s="12">
        <v>92</v>
      </c>
      <c r="J384" s="13" t="s">
        <v>376</v>
      </c>
      <c r="K384" s="12" t="s">
        <v>1056</v>
      </c>
      <c r="L384" s="13" t="s">
        <v>409</v>
      </c>
      <c r="M384" s="12" t="str">
        <f ca="1">IF(T_MP3s[[#This Row],[ID]]=$G$3,RAND(),"")</f>
        <v/>
      </c>
    </row>
    <row r="385" spans="9:13" x14ac:dyDescent="0.25">
      <c r="I385" s="12">
        <v>93</v>
      </c>
      <c r="J385" s="13" t="s">
        <v>378</v>
      </c>
      <c r="K385" s="12" t="s">
        <v>1013</v>
      </c>
      <c r="L385" s="13" t="s">
        <v>583</v>
      </c>
      <c r="M385" s="12" t="str">
        <f ca="1">IF(T_MP3s[[#This Row],[ID]]=$G$3,RAND(),"")</f>
        <v/>
      </c>
    </row>
    <row r="386" spans="9:13" x14ac:dyDescent="0.25">
      <c r="I386" s="12">
        <v>93</v>
      </c>
      <c r="J386" s="13" t="s">
        <v>378</v>
      </c>
      <c r="K386" s="12" t="s">
        <v>1051</v>
      </c>
      <c r="L386" s="13" t="s">
        <v>559</v>
      </c>
      <c r="M386" s="12" t="str">
        <f ca="1">IF(T_MP3s[[#This Row],[ID]]=$G$3,RAND(),"")</f>
        <v/>
      </c>
    </row>
    <row r="387" spans="9:13" x14ac:dyDescent="0.25">
      <c r="I387" s="12">
        <v>93</v>
      </c>
      <c r="J387" s="13" t="s">
        <v>373</v>
      </c>
      <c r="K387" s="12" t="s">
        <v>1013</v>
      </c>
      <c r="L387" s="13" t="s">
        <v>585</v>
      </c>
      <c r="M387" s="12" t="str">
        <f ca="1">IF(T_MP3s[[#This Row],[ID]]=$G$3,RAND(),"")</f>
        <v/>
      </c>
    </row>
    <row r="388" spans="9:13" x14ac:dyDescent="0.25">
      <c r="I388" s="12">
        <v>93</v>
      </c>
      <c r="J388" s="13" t="s">
        <v>373</v>
      </c>
      <c r="K388" s="12" t="s">
        <v>1051</v>
      </c>
      <c r="L388" s="13" t="s">
        <v>905</v>
      </c>
      <c r="M388" s="12" t="str">
        <f ca="1">IF(T_MP3s[[#This Row],[ID]]=$G$3,RAND(),"")</f>
        <v/>
      </c>
    </row>
    <row r="389" spans="9:13" x14ac:dyDescent="0.25">
      <c r="I389" s="12">
        <v>93</v>
      </c>
      <c r="J389" s="13" t="s">
        <v>392</v>
      </c>
      <c r="K389" s="12" t="s">
        <v>1013</v>
      </c>
      <c r="L389" s="13" t="s">
        <v>525</v>
      </c>
      <c r="M389" s="12" t="str">
        <f ca="1">IF(T_MP3s[[#This Row],[ID]]=$G$3,RAND(),"")</f>
        <v/>
      </c>
    </row>
    <row r="390" spans="9:13" x14ac:dyDescent="0.25">
      <c r="I390" s="12">
        <v>93</v>
      </c>
      <c r="J390" s="13" t="s">
        <v>392</v>
      </c>
      <c r="K390" s="12" t="s">
        <v>1051</v>
      </c>
      <c r="L390" s="13" t="s">
        <v>514</v>
      </c>
      <c r="M390" s="12" t="str">
        <f ca="1">IF(T_MP3s[[#This Row],[ID]]=$G$3,RAND(),"")</f>
        <v/>
      </c>
    </row>
    <row r="391" spans="9:13" x14ac:dyDescent="0.25">
      <c r="I391" s="12">
        <v>93</v>
      </c>
      <c r="J391" s="13" t="s">
        <v>376</v>
      </c>
      <c r="K391" s="12" t="s">
        <v>1013</v>
      </c>
      <c r="L391" s="13" t="s">
        <v>678</v>
      </c>
      <c r="M391" s="12" t="str">
        <f ca="1">IF(T_MP3s[[#This Row],[ID]]=$G$3,RAND(),"")</f>
        <v/>
      </c>
    </row>
    <row r="392" spans="9:13" x14ac:dyDescent="0.25">
      <c r="I392" s="12">
        <v>93</v>
      </c>
      <c r="J392" s="13" t="s">
        <v>376</v>
      </c>
      <c r="K392" s="12" t="s">
        <v>1051</v>
      </c>
      <c r="L392" s="13" t="s">
        <v>822</v>
      </c>
      <c r="M392" s="12" t="str">
        <f ca="1">IF(T_MP3s[[#This Row],[ID]]=$G$3,RAND(),"")</f>
        <v/>
      </c>
    </row>
    <row r="393" spans="9:13" x14ac:dyDescent="0.25">
      <c r="I393" s="12">
        <v>94</v>
      </c>
      <c r="J393" s="13" t="s">
        <v>378</v>
      </c>
      <c r="K393" s="12" t="s">
        <v>1016</v>
      </c>
      <c r="L393" s="13" t="s">
        <v>900</v>
      </c>
      <c r="M393" s="12" t="str">
        <f ca="1">IF(T_MP3s[[#This Row],[ID]]=$G$3,RAND(),"")</f>
        <v/>
      </c>
    </row>
    <row r="394" spans="9:13" x14ac:dyDescent="0.25">
      <c r="I394" s="12">
        <v>94</v>
      </c>
      <c r="J394" s="13" t="s">
        <v>378</v>
      </c>
      <c r="K394" s="12" t="s">
        <v>1054</v>
      </c>
      <c r="L394" s="13" t="s">
        <v>720</v>
      </c>
      <c r="M394" s="12" t="str">
        <f ca="1">IF(T_MP3s[[#This Row],[ID]]=$G$3,RAND(),"")</f>
        <v/>
      </c>
    </row>
    <row r="395" spans="9:13" x14ac:dyDescent="0.25">
      <c r="I395" s="12">
        <v>94</v>
      </c>
      <c r="J395" s="13" t="s">
        <v>373</v>
      </c>
      <c r="K395" s="12" t="s">
        <v>1016</v>
      </c>
      <c r="L395" s="13" t="s">
        <v>511</v>
      </c>
      <c r="M395" s="12" t="str">
        <f ca="1">IF(T_MP3s[[#This Row],[ID]]=$G$3,RAND(),"")</f>
        <v/>
      </c>
    </row>
    <row r="396" spans="9:13" x14ac:dyDescent="0.25">
      <c r="I396" s="12">
        <v>94</v>
      </c>
      <c r="J396" s="13" t="s">
        <v>373</v>
      </c>
      <c r="K396" s="12" t="s">
        <v>1054</v>
      </c>
      <c r="L396" s="13" t="s">
        <v>847</v>
      </c>
      <c r="M396" s="12" t="str">
        <f ca="1">IF(T_MP3s[[#This Row],[ID]]=$G$3,RAND(),"")</f>
        <v/>
      </c>
    </row>
    <row r="397" spans="9:13" x14ac:dyDescent="0.25">
      <c r="I397" s="12">
        <v>94</v>
      </c>
      <c r="J397" s="13" t="s">
        <v>392</v>
      </c>
      <c r="K397" s="12" t="s">
        <v>1016</v>
      </c>
      <c r="L397" s="13" t="s">
        <v>754</v>
      </c>
      <c r="M397" s="12" t="str">
        <f ca="1">IF(T_MP3s[[#This Row],[ID]]=$G$3,RAND(),"")</f>
        <v/>
      </c>
    </row>
    <row r="398" spans="9:13" x14ac:dyDescent="0.25">
      <c r="I398" s="12">
        <v>94</v>
      </c>
      <c r="J398" s="13" t="s">
        <v>392</v>
      </c>
      <c r="K398" s="12" t="s">
        <v>1054</v>
      </c>
      <c r="L398" s="13" t="s">
        <v>903</v>
      </c>
      <c r="M398" s="12" t="str">
        <f ca="1">IF(T_MP3s[[#This Row],[ID]]=$G$3,RAND(),"")</f>
        <v/>
      </c>
    </row>
    <row r="399" spans="9:13" x14ac:dyDescent="0.25">
      <c r="I399" s="12">
        <v>94</v>
      </c>
      <c r="J399" s="13" t="s">
        <v>376</v>
      </c>
      <c r="K399" s="12" t="s">
        <v>1016</v>
      </c>
      <c r="L399" s="13" t="s">
        <v>439</v>
      </c>
      <c r="M399" s="12" t="str">
        <f ca="1">IF(T_MP3s[[#This Row],[ID]]=$G$3,RAND(),"")</f>
        <v/>
      </c>
    </row>
    <row r="400" spans="9:13" x14ac:dyDescent="0.25">
      <c r="I400" s="12">
        <v>94</v>
      </c>
      <c r="J400" s="13" t="s">
        <v>376</v>
      </c>
      <c r="K400" s="12" t="s">
        <v>1054</v>
      </c>
      <c r="L400" s="13" t="s">
        <v>882</v>
      </c>
      <c r="M400" s="12" t="str">
        <f ca="1">IF(T_MP3s[[#This Row],[ID]]=$G$3,RAND(),"")</f>
        <v/>
      </c>
    </row>
    <row r="401" spans="9:13" x14ac:dyDescent="0.25">
      <c r="I401" s="12">
        <v>95</v>
      </c>
      <c r="J401" s="13" t="s">
        <v>378</v>
      </c>
      <c r="K401" s="12" t="s">
        <v>1017</v>
      </c>
      <c r="L401" s="13" t="s">
        <v>492</v>
      </c>
      <c r="M401" s="12" t="str">
        <f ca="1">IF(T_MP3s[[#This Row],[ID]]=$G$3,RAND(),"")</f>
        <v/>
      </c>
    </row>
    <row r="402" spans="9:13" x14ac:dyDescent="0.25">
      <c r="I402" s="12">
        <v>95</v>
      </c>
      <c r="J402" s="13" t="s">
        <v>378</v>
      </c>
      <c r="K402" s="12" t="s">
        <v>1055</v>
      </c>
      <c r="L402" s="13" t="s">
        <v>957</v>
      </c>
      <c r="M402" s="12" t="str">
        <f ca="1">IF(T_MP3s[[#This Row],[ID]]=$G$3,RAND(),"")</f>
        <v/>
      </c>
    </row>
    <row r="403" spans="9:13" x14ac:dyDescent="0.25">
      <c r="I403" s="12">
        <v>95</v>
      </c>
      <c r="J403" s="13" t="s">
        <v>373</v>
      </c>
      <c r="K403" s="12" t="s">
        <v>1017</v>
      </c>
      <c r="L403" s="13" t="s">
        <v>881</v>
      </c>
      <c r="M403" s="12" t="str">
        <f ca="1">IF(T_MP3s[[#This Row],[ID]]=$G$3,RAND(),"")</f>
        <v/>
      </c>
    </row>
    <row r="404" spans="9:13" x14ac:dyDescent="0.25">
      <c r="I404" s="12">
        <v>95</v>
      </c>
      <c r="J404" s="13" t="s">
        <v>373</v>
      </c>
      <c r="K404" s="12" t="s">
        <v>1055</v>
      </c>
      <c r="L404" s="13" t="s">
        <v>457</v>
      </c>
      <c r="M404" s="12" t="str">
        <f ca="1">IF(T_MP3s[[#This Row],[ID]]=$G$3,RAND(),"")</f>
        <v/>
      </c>
    </row>
    <row r="405" spans="9:13" x14ac:dyDescent="0.25">
      <c r="I405" s="12">
        <v>95</v>
      </c>
      <c r="J405" s="13" t="s">
        <v>392</v>
      </c>
      <c r="K405" s="12" t="s">
        <v>1017</v>
      </c>
      <c r="L405" s="13" t="s">
        <v>859</v>
      </c>
      <c r="M405" s="12" t="str">
        <f ca="1">IF(T_MP3s[[#This Row],[ID]]=$G$3,RAND(),"")</f>
        <v/>
      </c>
    </row>
    <row r="406" spans="9:13" x14ac:dyDescent="0.25">
      <c r="I406" s="12">
        <v>95</v>
      </c>
      <c r="J406" s="13" t="s">
        <v>392</v>
      </c>
      <c r="K406" s="12" t="s">
        <v>1055</v>
      </c>
      <c r="L406" s="13" t="s">
        <v>596</v>
      </c>
      <c r="M406" s="12" t="str">
        <f ca="1">IF(T_MP3s[[#This Row],[ID]]=$G$3,RAND(),"")</f>
        <v/>
      </c>
    </row>
    <row r="407" spans="9:13" x14ac:dyDescent="0.25">
      <c r="I407" s="12">
        <v>95</v>
      </c>
      <c r="J407" s="13" t="s">
        <v>376</v>
      </c>
      <c r="K407" s="12" t="s">
        <v>1017</v>
      </c>
      <c r="L407" s="13" t="s">
        <v>648</v>
      </c>
      <c r="M407" s="12" t="str">
        <f ca="1">IF(T_MP3s[[#This Row],[ID]]=$G$3,RAND(),"")</f>
        <v/>
      </c>
    </row>
    <row r="408" spans="9:13" x14ac:dyDescent="0.25">
      <c r="I408" s="12">
        <v>95</v>
      </c>
      <c r="J408" s="13" t="s">
        <v>376</v>
      </c>
      <c r="K408" s="12" t="s">
        <v>1055</v>
      </c>
      <c r="L408" s="13" t="s">
        <v>739</v>
      </c>
      <c r="M408" s="12" t="str">
        <f ca="1">IF(T_MP3s[[#This Row],[ID]]=$G$3,RAND(),"")</f>
        <v/>
      </c>
    </row>
    <row r="409" spans="9:13" x14ac:dyDescent="0.25">
      <c r="I409" s="12">
        <v>96</v>
      </c>
      <c r="J409" s="13" t="s">
        <v>376</v>
      </c>
      <c r="K409" s="12" t="s">
        <v>1060</v>
      </c>
      <c r="L409" s="13" t="s">
        <v>768</v>
      </c>
      <c r="M409" s="12" t="str">
        <f ca="1">IF(T_MP3s[[#This Row],[ID]]=$G$3,RAND(),"")</f>
        <v/>
      </c>
    </row>
    <row r="410" spans="9:13" x14ac:dyDescent="0.25">
      <c r="I410" s="12">
        <v>97</v>
      </c>
      <c r="J410" s="13" t="s">
        <v>378</v>
      </c>
      <c r="K410" s="12" t="s">
        <v>1010</v>
      </c>
      <c r="L410" s="13" t="s">
        <v>835</v>
      </c>
      <c r="M410" s="12" t="str">
        <f ca="1">IF(T_MP3s[[#This Row],[ID]]=$G$3,RAND(),"")</f>
        <v/>
      </c>
    </row>
    <row r="411" spans="9:13" x14ac:dyDescent="0.25">
      <c r="I411" s="12">
        <v>97</v>
      </c>
      <c r="J411" s="13" t="s">
        <v>378</v>
      </c>
      <c r="K411" s="12" t="s">
        <v>1047</v>
      </c>
      <c r="L411" s="13" t="s">
        <v>568</v>
      </c>
      <c r="M411" s="12" t="str">
        <f ca="1">IF(T_MP3s[[#This Row],[ID]]=$G$3,RAND(),"")</f>
        <v/>
      </c>
    </row>
    <row r="412" spans="9:13" x14ac:dyDescent="0.25">
      <c r="I412" s="12">
        <v>97</v>
      </c>
      <c r="J412" s="13" t="s">
        <v>373</v>
      </c>
      <c r="K412" s="12" t="s">
        <v>1010</v>
      </c>
      <c r="L412" s="13" t="s">
        <v>798</v>
      </c>
      <c r="M412" s="12" t="str">
        <f ca="1">IF(T_MP3s[[#This Row],[ID]]=$G$3,RAND(),"")</f>
        <v/>
      </c>
    </row>
    <row r="413" spans="9:13" x14ac:dyDescent="0.25">
      <c r="I413" s="12">
        <v>97</v>
      </c>
      <c r="J413" s="13" t="s">
        <v>373</v>
      </c>
      <c r="K413" s="12" t="s">
        <v>1047</v>
      </c>
      <c r="L413" s="13" t="s">
        <v>404</v>
      </c>
      <c r="M413" s="12" t="str">
        <f ca="1">IF(T_MP3s[[#This Row],[ID]]=$G$3,RAND(),"")</f>
        <v/>
      </c>
    </row>
    <row r="414" spans="9:13" x14ac:dyDescent="0.25">
      <c r="I414" s="12">
        <v>97</v>
      </c>
      <c r="J414" s="13" t="s">
        <v>392</v>
      </c>
      <c r="K414" s="12" t="s">
        <v>1010</v>
      </c>
      <c r="L414" s="13" t="s">
        <v>786</v>
      </c>
      <c r="M414" s="12" t="str">
        <f ca="1">IF(T_MP3s[[#This Row],[ID]]=$G$3,RAND(),"")</f>
        <v/>
      </c>
    </row>
    <row r="415" spans="9:13" x14ac:dyDescent="0.25">
      <c r="I415" s="12">
        <v>97</v>
      </c>
      <c r="J415" s="13" t="s">
        <v>392</v>
      </c>
      <c r="K415" s="12" t="s">
        <v>1047</v>
      </c>
      <c r="L415" s="13" t="s">
        <v>659</v>
      </c>
      <c r="M415" s="12" t="str">
        <f ca="1">IF(T_MP3s[[#This Row],[ID]]=$G$3,RAND(),"")</f>
        <v/>
      </c>
    </row>
    <row r="416" spans="9:13" x14ac:dyDescent="0.25">
      <c r="I416" s="12">
        <v>97</v>
      </c>
      <c r="J416" s="13" t="s">
        <v>376</v>
      </c>
      <c r="K416" s="12" t="s">
        <v>1010</v>
      </c>
      <c r="L416" s="13" t="s">
        <v>641</v>
      </c>
      <c r="M416" s="12" t="str">
        <f ca="1">IF(T_MP3s[[#This Row],[ID]]=$G$3,RAND(),"")</f>
        <v/>
      </c>
    </row>
    <row r="417" spans="9:13" x14ac:dyDescent="0.25">
      <c r="I417" s="12">
        <v>97</v>
      </c>
      <c r="J417" s="13" t="s">
        <v>376</v>
      </c>
      <c r="K417" s="12" t="s">
        <v>1047</v>
      </c>
      <c r="L417" s="13" t="s">
        <v>943</v>
      </c>
      <c r="M417" s="12" t="str">
        <f ca="1">IF(T_MP3s[[#This Row],[ID]]=$G$3,RAND(),"")</f>
        <v/>
      </c>
    </row>
    <row r="418" spans="9:13" x14ac:dyDescent="0.25">
      <c r="I418" s="12">
        <v>98</v>
      </c>
      <c r="J418" s="13" t="s">
        <v>378</v>
      </c>
      <c r="K418" s="12" t="s">
        <v>1040</v>
      </c>
      <c r="L418" s="13" t="s">
        <v>564</v>
      </c>
      <c r="M418" s="12" t="str">
        <f ca="1">IF(T_MP3s[[#This Row],[ID]]=$G$3,RAND(),"")</f>
        <v/>
      </c>
    </row>
    <row r="419" spans="9:13" x14ac:dyDescent="0.25">
      <c r="I419" s="12">
        <v>98</v>
      </c>
      <c r="J419" s="13" t="s">
        <v>373</v>
      </c>
      <c r="K419" s="12" t="s">
        <v>1040</v>
      </c>
      <c r="L419" s="13" t="s">
        <v>455</v>
      </c>
      <c r="M419" s="12" t="str">
        <f ca="1">IF(T_MP3s[[#This Row],[ID]]=$G$3,RAND(),"")</f>
        <v/>
      </c>
    </row>
    <row r="420" spans="9:13" x14ac:dyDescent="0.25">
      <c r="I420" s="12">
        <v>98</v>
      </c>
      <c r="J420" s="13" t="s">
        <v>392</v>
      </c>
      <c r="K420" s="12" t="s">
        <v>1040</v>
      </c>
      <c r="L420" s="13" t="s">
        <v>938</v>
      </c>
      <c r="M420" s="12" t="str">
        <f ca="1">IF(T_MP3s[[#This Row],[ID]]=$G$3,RAND(),"")</f>
        <v/>
      </c>
    </row>
    <row r="421" spans="9:13" x14ac:dyDescent="0.25">
      <c r="I421" s="12">
        <v>98</v>
      </c>
      <c r="J421" s="13" t="s">
        <v>376</v>
      </c>
      <c r="K421" s="12" t="s">
        <v>1040</v>
      </c>
      <c r="L421" s="13" t="s">
        <v>753</v>
      </c>
      <c r="M421" s="12" t="str">
        <f ca="1">IF(T_MP3s[[#This Row],[ID]]=$G$3,RAND(),"")</f>
        <v/>
      </c>
    </row>
    <row r="422" spans="9:13" x14ac:dyDescent="0.25">
      <c r="I422" s="12">
        <v>99</v>
      </c>
      <c r="J422" s="13" t="s">
        <v>376</v>
      </c>
      <c r="K422" s="12" t="s">
        <v>1061</v>
      </c>
      <c r="L422" s="13" t="s">
        <v>527</v>
      </c>
      <c r="M422" s="12" t="str">
        <f ca="1">IF(T_MP3s[[#This Row],[ID]]=$G$3,RAND(),"")</f>
        <v/>
      </c>
    </row>
    <row r="423" spans="9:13" x14ac:dyDescent="0.25">
      <c r="I423" s="12">
        <v>100</v>
      </c>
      <c r="J423" s="13" t="s">
        <v>378</v>
      </c>
      <c r="K423" s="12" t="s">
        <v>1012</v>
      </c>
      <c r="L423" s="13" t="s">
        <v>816</v>
      </c>
      <c r="M423" s="12" t="str">
        <f ca="1">IF(T_MP3s[[#This Row],[ID]]=$G$3,RAND(),"")</f>
        <v/>
      </c>
    </row>
    <row r="424" spans="9:13" x14ac:dyDescent="0.25">
      <c r="I424" s="12">
        <v>100</v>
      </c>
      <c r="J424" s="13" t="s">
        <v>378</v>
      </c>
      <c r="K424" s="12" t="s">
        <v>1050</v>
      </c>
      <c r="L424" s="13" t="s">
        <v>920</v>
      </c>
      <c r="M424" s="12" t="str">
        <f ca="1">IF(T_MP3s[[#This Row],[ID]]=$G$3,RAND(),"")</f>
        <v/>
      </c>
    </row>
    <row r="425" spans="9:13" x14ac:dyDescent="0.25">
      <c r="I425" s="12">
        <v>100</v>
      </c>
      <c r="J425" s="13" t="s">
        <v>373</v>
      </c>
      <c r="K425" s="12" t="s">
        <v>1012</v>
      </c>
      <c r="L425" s="13" t="s">
        <v>501</v>
      </c>
      <c r="M425" s="12" t="str">
        <f ca="1">IF(T_MP3s[[#This Row],[ID]]=$G$3,RAND(),"")</f>
        <v/>
      </c>
    </row>
    <row r="426" spans="9:13" x14ac:dyDescent="0.25">
      <c r="I426" s="12">
        <v>100</v>
      </c>
      <c r="J426" s="13" t="s">
        <v>373</v>
      </c>
      <c r="K426" s="12" t="s">
        <v>1050</v>
      </c>
      <c r="L426" s="13" t="s">
        <v>850</v>
      </c>
      <c r="M426" s="12" t="str">
        <f ca="1">IF(T_MP3s[[#This Row],[ID]]=$G$3,RAND(),"")</f>
        <v/>
      </c>
    </row>
    <row r="427" spans="9:13" x14ac:dyDescent="0.25">
      <c r="I427" s="12">
        <v>100</v>
      </c>
      <c r="J427" s="13" t="s">
        <v>392</v>
      </c>
      <c r="K427" s="12" t="s">
        <v>1012</v>
      </c>
      <c r="L427" s="13" t="s">
        <v>992</v>
      </c>
      <c r="M427" s="12" t="str">
        <f ca="1">IF(T_MP3s[[#This Row],[ID]]=$G$3,RAND(),"")</f>
        <v/>
      </c>
    </row>
    <row r="428" spans="9:13" x14ac:dyDescent="0.25">
      <c r="I428" s="12">
        <v>100</v>
      </c>
      <c r="J428" s="13" t="s">
        <v>392</v>
      </c>
      <c r="K428" s="12" t="s">
        <v>1050</v>
      </c>
      <c r="L428" s="13" t="s">
        <v>937</v>
      </c>
      <c r="M428" s="12" t="str">
        <f ca="1">IF(T_MP3s[[#This Row],[ID]]=$G$3,RAND(),"")</f>
        <v/>
      </c>
    </row>
    <row r="429" spans="9:13" x14ac:dyDescent="0.25">
      <c r="I429" s="12">
        <v>100</v>
      </c>
      <c r="J429" s="13" t="s">
        <v>376</v>
      </c>
      <c r="K429" s="12" t="s">
        <v>1012</v>
      </c>
      <c r="L429" s="13" t="s">
        <v>902</v>
      </c>
      <c r="M429" s="12" t="str">
        <f ca="1">IF(T_MP3s[[#This Row],[ID]]=$G$3,RAND(),"")</f>
        <v/>
      </c>
    </row>
    <row r="430" spans="9:13" x14ac:dyDescent="0.25">
      <c r="I430" s="12">
        <v>100</v>
      </c>
      <c r="J430" s="13" t="s">
        <v>376</v>
      </c>
      <c r="K430" s="12" t="s">
        <v>1050</v>
      </c>
      <c r="L430" s="13" t="s">
        <v>682</v>
      </c>
      <c r="M430" s="12" t="str">
        <f ca="1">IF(T_MP3s[[#This Row],[ID]]=$G$3,RAND(),"")</f>
        <v/>
      </c>
    </row>
    <row r="431" spans="9:13" x14ac:dyDescent="0.25">
      <c r="I431" s="12">
        <v>101</v>
      </c>
      <c r="J431" s="13" t="s">
        <v>378</v>
      </c>
      <c r="K431" s="12" t="s">
        <v>1048</v>
      </c>
      <c r="L431" s="13" t="s">
        <v>869</v>
      </c>
      <c r="M431" s="12" t="str">
        <f ca="1">IF(T_MP3s[[#This Row],[ID]]=$G$3,RAND(),"")</f>
        <v/>
      </c>
    </row>
    <row r="432" spans="9:13" x14ac:dyDescent="0.25">
      <c r="I432" s="12">
        <v>101</v>
      </c>
      <c r="J432" s="13" t="s">
        <v>373</v>
      </c>
      <c r="K432" s="12" t="s">
        <v>1048</v>
      </c>
      <c r="L432" s="13" t="s">
        <v>764</v>
      </c>
      <c r="M432" s="12" t="str">
        <f ca="1">IF(T_MP3s[[#This Row],[ID]]=$G$3,RAND(),"")</f>
        <v/>
      </c>
    </row>
    <row r="433" spans="9:13" x14ac:dyDescent="0.25">
      <c r="I433" s="12">
        <v>101</v>
      </c>
      <c r="J433" s="13" t="s">
        <v>392</v>
      </c>
      <c r="K433" s="12" t="s">
        <v>1048</v>
      </c>
      <c r="L433" s="13" t="s">
        <v>626</v>
      </c>
      <c r="M433" s="12" t="str">
        <f ca="1">IF(T_MP3s[[#This Row],[ID]]=$G$3,RAND(),"")</f>
        <v/>
      </c>
    </row>
    <row r="434" spans="9:13" x14ac:dyDescent="0.25">
      <c r="I434" s="12">
        <v>101</v>
      </c>
      <c r="J434" s="13" t="s">
        <v>376</v>
      </c>
      <c r="K434" s="12" t="s">
        <v>1048</v>
      </c>
      <c r="L434" s="13" t="s">
        <v>975</v>
      </c>
      <c r="M434" s="12" t="str">
        <f ca="1">IF(T_MP3s[[#This Row],[ID]]=$G$3,RAND(),"")</f>
        <v/>
      </c>
    </row>
    <row r="435" spans="9:13" x14ac:dyDescent="0.25">
      <c r="I435" s="12">
        <v>102</v>
      </c>
      <c r="J435" s="13" t="s">
        <v>376</v>
      </c>
      <c r="K435" s="12" t="s">
        <v>1009</v>
      </c>
      <c r="L435" s="13" t="s">
        <v>927</v>
      </c>
      <c r="M435" s="12" t="str">
        <f ca="1">IF(T_MP3s[[#This Row],[ID]]=$G$3,RAND(),"")</f>
        <v/>
      </c>
    </row>
    <row r="436" spans="9:13" x14ac:dyDescent="0.25">
      <c r="I436" s="12">
        <v>103</v>
      </c>
      <c r="J436" s="13" t="s">
        <v>378</v>
      </c>
      <c r="K436" s="12" t="s">
        <v>1014</v>
      </c>
      <c r="L436" s="13" t="s">
        <v>572</v>
      </c>
      <c r="M436" s="12" t="str">
        <f ca="1">IF(T_MP3s[[#This Row],[ID]]=$G$3,RAND(),"")</f>
        <v/>
      </c>
    </row>
    <row r="437" spans="9:13" x14ac:dyDescent="0.25">
      <c r="I437" s="12">
        <v>103</v>
      </c>
      <c r="J437" s="13" t="s">
        <v>378</v>
      </c>
      <c r="K437" s="12" t="s">
        <v>1052</v>
      </c>
      <c r="L437" s="13" t="s">
        <v>463</v>
      </c>
      <c r="M437" s="12" t="str">
        <f ca="1">IF(T_MP3s[[#This Row],[ID]]=$G$3,RAND(),"")</f>
        <v/>
      </c>
    </row>
    <row r="438" spans="9:13" x14ac:dyDescent="0.25">
      <c r="I438" s="12">
        <v>103</v>
      </c>
      <c r="J438" s="13" t="s">
        <v>373</v>
      </c>
      <c r="K438" s="12" t="s">
        <v>1014</v>
      </c>
      <c r="L438" s="13" t="s">
        <v>910</v>
      </c>
      <c r="M438" s="12" t="str">
        <f ca="1">IF(T_MP3s[[#This Row],[ID]]=$G$3,RAND(),"")</f>
        <v/>
      </c>
    </row>
    <row r="439" spans="9:13" x14ac:dyDescent="0.25">
      <c r="I439" s="12">
        <v>103</v>
      </c>
      <c r="J439" s="13" t="s">
        <v>373</v>
      </c>
      <c r="K439" s="12" t="s">
        <v>1052</v>
      </c>
      <c r="L439" s="13" t="s">
        <v>969</v>
      </c>
      <c r="M439" s="12" t="str">
        <f ca="1">IF(T_MP3s[[#This Row],[ID]]=$G$3,RAND(),"")</f>
        <v/>
      </c>
    </row>
    <row r="440" spans="9:13" x14ac:dyDescent="0.25">
      <c r="I440" s="12">
        <v>103</v>
      </c>
      <c r="J440" s="13" t="s">
        <v>392</v>
      </c>
      <c r="K440" s="12" t="s">
        <v>1014</v>
      </c>
      <c r="L440" s="13" t="s">
        <v>792</v>
      </c>
      <c r="M440" s="12" t="str">
        <f ca="1">IF(T_MP3s[[#This Row],[ID]]=$G$3,RAND(),"")</f>
        <v/>
      </c>
    </row>
    <row r="441" spans="9:13" x14ac:dyDescent="0.25">
      <c r="I441" s="12">
        <v>103</v>
      </c>
      <c r="J441" s="13" t="s">
        <v>392</v>
      </c>
      <c r="K441" s="12" t="s">
        <v>1052</v>
      </c>
      <c r="L441" s="13" t="s">
        <v>491</v>
      </c>
      <c r="M441" s="12" t="str">
        <f ca="1">IF(T_MP3s[[#This Row],[ID]]=$G$3,RAND(),"")</f>
        <v/>
      </c>
    </row>
    <row r="442" spans="9:13" x14ac:dyDescent="0.25">
      <c r="I442" s="12">
        <v>103</v>
      </c>
      <c r="J442" s="13" t="s">
        <v>376</v>
      </c>
      <c r="K442" s="12" t="s">
        <v>1014</v>
      </c>
      <c r="L442" s="13" t="s">
        <v>733</v>
      </c>
      <c r="M442" s="12" t="str">
        <f ca="1">IF(T_MP3s[[#This Row],[ID]]=$G$3,RAND(),"")</f>
        <v/>
      </c>
    </row>
    <row r="443" spans="9:13" x14ac:dyDescent="0.25">
      <c r="I443" s="12">
        <v>103</v>
      </c>
      <c r="J443" s="13" t="s">
        <v>376</v>
      </c>
      <c r="K443" s="12" t="s">
        <v>1052</v>
      </c>
      <c r="L443" s="13" t="s">
        <v>519</v>
      </c>
      <c r="M443" s="12" t="str">
        <f ca="1">IF(T_MP3s[[#This Row],[ID]]=$G$3,RAND(),"")</f>
        <v/>
      </c>
    </row>
    <row r="444" spans="9:13" x14ac:dyDescent="0.25">
      <c r="I444" s="12">
        <v>104</v>
      </c>
      <c r="J444" s="13" t="s">
        <v>378</v>
      </c>
      <c r="K444" s="12" t="s">
        <v>1049</v>
      </c>
      <c r="L444" s="13" t="s">
        <v>539</v>
      </c>
      <c r="M444" s="12" t="str">
        <f ca="1">IF(T_MP3s[[#This Row],[ID]]=$G$3,RAND(),"")</f>
        <v/>
      </c>
    </row>
    <row r="445" spans="9:13" x14ac:dyDescent="0.25">
      <c r="I445" s="12">
        <v>104</v>
      </c>
      <c r="J445" s="13" t="s">
        <v>373</v>
      </c>
      <c r="K445" s="12" t="s">
        <v>1049</v>
      </c>
      <c r="L445" s="13" t="s">
        <v>831</v>
      </c>
      <c r="M445" s="12" t="str">
        <f ca="1">IF(T_MP3s[[#This Row],[ID]]=$G$3,RAND(),"")</f>
        <v/>
      </c>
    </row>
    <row r="446" spans="9:13" x14ac:dyDescent="0.25">
      <c r="I446" s="12">
        <v>104</v>
      </c>
      <c r="J446" s="13" t="s">
        <v>392</v>
      </c>
      <c r="K446" s="12" t="s">
        <v>1049</v>
      </c>
      <c r="L446" s="13" t="s">
        <v>466</v>
      </c>
      <c r="M446" s="12" t="str">
        <f ca="1">IF(T_MP3s[[#This Row],[ID]]=$G$3,RAND(),"")</f>
        <v/>
      </c>
    </row>
    <row r="447" spans="9:13" x14ac:dyDescent="0.25">
      <c r="I447" s="12">
        <v>104</v>
      </c>
      <c r="J447" s="13" t="s">
        <v>376</v>
      </c>
      <c r="K447" s="12" t="s">
        <v>1049</v>
      </c>
      <c r="L447" s="13" t="s">
        <v>662</v>
      </c>
      <c r="M447" s="12" t="str">
        <f ca="1">IF(T_MP3s[[#This Row],[ID]]=$G$3,RAND(),"")</f>
        <v/>
      </c>
    </row>
    <row r="448" spans="9:13" x14ac:dyDescent="0.25">
      <c r="I448" s="12">
        <v>106</v>
      </c>
      <c r="J448" s="13" t="s">
        <v>378</v>
      </c>
      <c r="K448" s="12" t="s">
        <v>1015</v>
      </c>
      <c r="L448" s="13" t="s">
        <v>913</v>
      </c>
      <c r="M448" s="12" t="str">
        <f ca="1">IF(T_MP3s[[#This Row],[ID]]=$G$3,RAND(),"")</f>
        <v/>
      </c>
    </row>
    <row r="449" spans="9:13" x14ac:dyDescent="0.25">
      <c r="I449" s="12">
        <v>106</v>
      </c>
      <c r="J449" s="13" t="s">
        <v>378</v>
      </c>
      <c r="K449" s="12" t="s">
        <v>1053</v>
      </c>
      <c r="L449" s="13" t="s">
        <v>422</v>
      </c>
      <c r="M449" s="12" t="str">
        <f ca="1">IF(T_MP3s[[#This Row],[ID]]=$G$3,RAND(),"")</f>
        <v/>
      </c>
    </row>
    <row r="450" spans="9:13" x14ac:dyDescent="0.25">
      <c r="I450" s="12">
        <v>106</v>
      </c>
      <c r="J450" s="13" t="s">
        <v>373</v>
      </c>
      <c r="K450" s="12" t="s">
        <v>1015</v>
      </c>
      <c r="L450" s="13" t="s">
        <v>963</v>
      </c>
      <c r="M450" s="12" t="str">
        <f ca="1">IF(T_MP3s[[#This Row],[ID]]=$G$3,RAND(),"")</f>
        <v/>
      </c>
    </row>
    <row r="451" spans="9:13" x14ac:dyDescent="0.25">
      <c r="I451" s="12">
        <v>106</v>
      </c>
      <c r="J451" s="13" t="s">
        <v>373</v>
      </c>
      <c r="K451" s="12" t="s">
        <v>1053</v>
      </c>
      <c r="L451" s="13" t="s">
        <v>880</v>
      </c>
      <c r="M451" s="12" t="str">
        <f ca="1">IF(T_MP3s[[#This Row],[ID]]=$G$3,RAND(),"")</f>
        <v/>
      </c>
    </row>
    <row r="452" spans="9:13" x14ac:dyDescent="0.25">
      <c r="I452" s="12">
        <v>106</v>
      </c>
      <c r="J452" s="13" t="s">
        <v>392</v>
      </c>
      <c r="K452" s="12" t="s">
        <v>1015</v>
      </c>
      <c r="L452" s="13" t="s">
        <v>431</v>
      </c>
      <c r="M452" s="12" t="str">
        <f ca="1">IF(T_MP3s[[#This Row],[ID]]=$G$3,RAND(),"")</f>
        <v/>
      </c>
    </row>
    <row r="453" spans="9:13" x14ac:dyDescent="0.25">
      <c r="I453" s="12">
        <v>106</v>
      </c>
      <c r="J453" s="13" t="s">
        <v>392</v>
      </c>
      <c r="K453" s="12" t="s">
        <v>1053</v>
      </c>
      <c r="L453" s="13" t="s">
        <v>843</v>
      </c>
      <c r="M453" s="12" t="str">
        <f ca="1">IF(T_MP3s[[#This Row],[ID]]=$G$3,RAND(),"")</f>
        <v/>
      </c>
    </row>
    <row r="454" spans="9:13" x14ac:dyDescent="0.25">
      <c r="I454" s="12">
        <v>106</v>
      </c>
      <c r="J454" s="13" t="s">
        <v>376</v>
      </c>
      <c r="K454" s="12" t="s">
        <v>1015</v>
      </c>
      <c r="L454" s="13" t="s">
        <v>861</v>
      </c>
      <c r="M454" s="12" t="str">
        <f ca="1">IF(T_MP3s[[#This Row],[ID]]=$G$3,RAND(),"")</f>
        <v/>
      </c>
    </row>
    <row r="455" spans="9:13" x14ac:dyDescent="0.25">
      <c r="I455" s="12">
        <v>106</v>
      </c>
      <c r="J455" s="13" t="s">
        <v>376</v>
      </c>
      <c r="K455" s="12" t="s">
        <v>1053</v>
      </c>
      <c r="L455" s="13" t="s">
        <v>985</v>
      </c>
      <c r="M455" s="12" t="str">
        <f ca="1">IF(T_MP3s[[#This Row],[ID]]=$G$3,RAND(),"")</f>
        <v/>
      </c>
    </row>
    <row r="456" spans="9:13" x14ac:dyDescent="0.25">
      <c r="I456" s="12">
        <v>107</v>
      </c>
      <c r="J456" s="13" t="s">
        <v>373</v>
      </c>
      <c r="K456" s="12" t="s">
        <v>1059</v>
      </c>
      <c r="L456" s="13" t="s">
        <v>604</v>
      </c>
      <c r="M456" s="12" t="str">
        <f ca="1">IF(T_MP3s[[#This Row],[ID]]=$G$3,RAND(),"")</f>
        <v/>
      </c>
    </row>
    <row r="457" spans="9:13" x14ac:dyDescent="0.25">
      <c r="I457" s="12">
        <v>107</v>
      </c>
      <c r="J457" s="13" t="s">
        <v>392</v>
      </c>
      <c r="K457" s="12" t="s">
        <v>1059</v>
      </c>
      <c r="L457" s="13" t="s">
        <v>723</v>
      </c>
      <c r="M457" s="12" t="str">
        <f ca="1">IF(T_MP3s[[#This Row],[ID]]=$G$3,RAND(),"")</f>
        <v/>
      </c>
    </row>
    <row r="458" spans="9:13" x14ac:dyDescent="0.25">
      <c r="I458" s="12">
        <v>107</v>
      </c>
      <c r="J458" s="13" t="s">
        <v>376</v>
      </c>
      <c r="K458" s="12" t="s">
        <v>1059</v>
      </c>
      <c r="L458" s="13" t="s">
        <v>520</v>
      </c>
      <c r="M458" s="12" t="str">
        <f ca="1">IF(T_MP3s[[#This Row],[ID]]=$G$3,RAND(),"")</f>
        <v/>
      </c>
    </row>
    <row r="459" spans="9:13" x14ac:dyDescent="0.25">
      <c r="I459" s="12">
        <v>109</v>
      </c>
      <c r="J459" s="13" t="s">
        <v>373</v>
      </c>
      <c r="K459" s="12" t="s">
        <v>1025</v>
      </c>
      <c r="L459" s="13" t="s">
        <v>448</v>
      </c>
      <c r="M459" s="12" t="str">
        <f ca="1">IF(T_MP3s[[#This Row],[ID]]=$G$3,RAND(),"")</f>
        <v/>
      </c>
    </row>
    <row r="460" spans="9:13" x14ac:dyDescent="0.25">
      <c r="I460" s="12">
        <v>109</v>
      </c>
      <c r="J460" s="13" t="s">
        <v>392</v>
      </c>
      <c r="K460" s="12" t="s">
        <v>1025</v>
      </c>
      <c r="L460" s="13" t="s">
        <v>553</v>
      </c>
      <c r="M460" s="12" t="str">
        <f ca="1">IF(T_MP3s[[#This Row],[ID]]=$G$3,RAND(),"")</f>
        <v/>
      </c>
    </row>
    <row r="461" spans="9:13" x14ac:dyDescent="0.25">
      <c r="I461" s="12">
        <v>109</v>
      </c>
      <c r="J461" s="13" t="s">
        <v>376</v>
      </c>
      <c r="K461" s="12" t="s">
        <v>1025</v>
      </c>
      <c r="L461" s="13" t="s">
        <v>832</v>
      </c>
      <c r="M461" s="12" t="str">
        <f ca="1">IF(T_MP3s[[#This Row],[ID]]=$G$3,RAND(),"")</f>
        <v/>
      </c>
    </row>
    <row r="462" spans="9:13" x14ac:dyDescent="0.25">
      <c r="I462" s="12">
        <v>110</v>
      </c>
      <c r="J462" s="13" t="s">
        <v>376</v>
      </c>
      <c r="K462" s="12" t="s">
        <v>1030</v>
      </c>
      <c r="L462" s="13" t="s">
        <v>897</v>
      </c>
      <c r="M462" s="12" t="str">
        <f ca="1">IF(T_MP3s[[#This Row],[ID]]=$G$3,RAND(),"")</f>
        <v/>
      </c>
    </row>
    <row r="463" spans="9:13" x14ac:dyDescent="0.25">
      <c r="I463" s="12">
        <v>111</v>
      </c>
      <c r="J463" s="13" t="s">
        <v>378</v>
      </c>
      <c r="K463" s="12" t="s">
        <v>1022</v>
      </c>
      <c r="L463" s="13" t="s">
        <v>836</v>
      </c>
      <c r="M463" s="12" t="str">
        <f ca="1">IF(T_MP3s[[#This Row],[ID]]=$G$3,RAND(),"")</f>
        <v/>
      </c>
    </row>
    <row r="464" spans="9:13" x14ac:dyDescent="0.25">
      <c r="I464" s="12">
        <v>111</v>
      </c>
      <c r="J464" s="13" t="s">
        <v>373</v>
      </c>
      <c r="K464" s="12" t="s">
        <v>1022</v>
      </c>
      <c r="L464" s="13" t="s">
        <v>512</v>
      </c>
      <c r="M464" s="12" t="str">
        <f ca="1">IF(T_MP3s[[#This Row],[ID]]=$G$3,RAND(),"")</f>
        <v/>
      </c>
    </row>
    <row r="465" spans="9:13" x14ac:dyDescent="0.25">
      <c r="I465" s="12">
        <v>111</v>
      </c>
      <c r="J465" s="13" t="s">
        <v>373</v>
      </c>
      <c r="K465" s="12" t="s">
        <v>1032</v>
      </c>
      <c r="L465" s="13" t="s">
        <v>456</v>
      </c>
      <c r="M465" s="12" t="str">
        <f ca="1">IF(T_MP3s[[#This Row],[ID]]=$G$3,RAND(),"")</f>
        <v/>
      </c>
    </row>
    <row r="466" spans="9:13" x14ac:dyDescent="0.25">
      <c r="I466" s="12">
        <v>111</v>
      </c>
      <c r="J466" s="13" t="s">
        <v>392</v>
      </c>
      <c r="K466" s="12" t="s">
        <v>1022</v>
      </c>
      <c r="L466" s="13" t="s">
        <v>974</v>
      </c>
      <c r="M466" s="12" t="str">
        <f ca="1">IF(T_MP3s[[#This Row],[ID]]=$G$3,RAND(),"")</f>
        <v/>
      </c>
    </row>
    <row r="467" spans="9:13" x14ac:dyDescent="0.25">
      <c r="I467" s="12">
        <v>111</v>
      </c>
      <c r="J467" s="13" t="s">
        <v>392</v>
      </c>
      <c r="K467" s="12" t="s">
        <v>1032</v>
      </c>
      <c r="L467" s="13" t="s">
        <v>917</v>
      </c>
      <c r="M467" s="12" t="str">
        <f ca="1">IF(T_MP3s[[#This Row],[ID]]=$G$3,RAND(),"")</f>
        <v/>
      </c>
    </row>
    <row r="468" spans="9:13" x14ac:dyDescent="0.25">
      <c r="I468" s="12">
        <v>111</v>
      </c>
      <c r="J468" s="13" t="s">
        <v>376</v>
      </c>
      <c r="K468" s="12" t="s">
        <v>1022</v>
      </c>
      <c r="L468" s="13" t="s">
        <v>949</v>
      </c>
      <c r="M468" s="12" t="str">
        <f ca="1">IF(T_MP3s[[#This Row],[ID]]=$G$3,RAND(),"")</f>
        <v/>
      </c>
    </row>
    <row r="469" spans="9:13" x14ac:dyDescent="0.25">
      <c r="I469" s="12">
        <v>111</v>
      </c>
      <c r="J469" s="13" t="s">
        <v>376</v>
      </c>
      <c r="K469" s="12" t="s">
        <v>1032</v>
      </c>
      <c r="L469" s="13" t="s">
        <v>976</v>
      </c>
      <c r="M469" s="12" t="str">
        <f ca="1">IF(T_MP3s[[#This Row],[ID]]=$G$3,RAND(),"")</f>
        <v/>
      </c>
    </row>
    <row r="470" spans="9:13" x14ac:dyDescent="0.25">
      <c r="I470" s="12">
        <v>113</v>
      </c>
      <c r="J470" s="13" t="s">
        <v>378</v>
      </c>
      <c r="K470" s="12" t="s">
        <v>1008</v>
      </c>
      <c r="L470" s="13" t="s">
        <v>588</v>
      </c>
      <c r="M470" s="12" t="str">
        <f ca="1">IF(T_MP3s[[#This Row],[ID]]=$G$3,RAND(),"")</f>
        <v/>
      </c>
    </row>
    <row r="471" spans="9:13" x14ac:dyDescent="0.25">
      <c r="I471" s="12">
        <v>113</v>
      </c>
      <c r="J471" s="13" t="s">
        <v>373</v>
      </c>
      <c r="K471" s="12" t="s">
        <v>1008</v>
      </c>
      <c r="L471" s="13" t="s">
        <v>763</v>
      </c>
      <c r="M471" s="12" t="str">
        <f ca="1">IF(T_MP3s[[#This Row],[ID]]=$G$3,RAND(),"")</f>
        <v/>
      </c>
    </row>
    <row r="472" spans="9:13" x14ac:dyDescent="0.25">
      <c r="I472" s="12">
        <v>113</v>
      </c>
      <c r="J472" s="13" t="s">
        <v>373</v>
      </c>
      <c r="K472" s="12" t="s">
        <v>1031</v>
      </c>
      <c r="L472" s="13" t="s">
        <v>679</v>
      </c>
      <c r="M472" s="12" t="str">
        <f ca="1">IF(T_MP3s[[#This Row],[ID]]=$G$3,RAND(),"")</f>
        <v/>
      </c>
    </row>
    <row r="473" spans="9:13" x14ac:dyDescent="0.25">
      <c r="I473" s="12">
        <v>113</v>
      </c>
      <c r="J473" s="13" t="s">
        <v>392</v>
      </c>
      <c r="K473" s="12" t="s">
        <v>1008</v>
      </c>
      <c r="L473" s="13" t="s">
        <v>825</v>
      </c>
      <c r="M473" s="12" t="str">
        <f ca="1">IF(T_MP3s[[#This Row],[ID]]=$G$3,RAND(),"")</f>
        <v/>
      </c>
    </row>
    <row r="474" spans="9:13" x14ac:dyDescent="0.25">
      <c r="I474" s="12">
        <v>113</v>
      </c>
      <c r="J474" s="13" t="s">
        <v>392</v>
      </c>
      <c r="K474" s="12" t="s">
        <v>1031</v>
      </c>
      <c r="L474" s="13" t="s">
        <v>569</v>
      </c>
      <c r="M474" s="12" t="str">
        <f ca="1">IF(T_MP3s[[#This Row],[ID]]=$G$3,RAND(),"")</f>
        <v/>
      </c>
    </row>
    <row r="475" spans="9:13" x14ac:dyDescent="0.25">
      <c r="I475" s="12">
        <v>113</v>
      </c>
      <c r="J475" s="13" t="s">
        <v>376</v>
      </c>
      <c r="K475" s="12" t="s">
        <v>1008</v>
      </c>
      <c r="L475" s="13" t="s">
        <v>483</v>
      </c>
      <c r="M475" s="12" t="str">
        <f ca="1">IF(T_MP3s[[#This Row],[ID]]=$G$3,RAND(),"")</f>
        <v/>
      </c>
    </row>
    <row r="476" spans="9:13" x14ac:dyDescent="0.25">
      <c r="I476" s="12">
        <v>113</v>
      </c>
      <c r="J476" s="13" t="s">
        <v>376</v>
      </c>
      <c r="K476" s="12" t="s">
        <v>1031</v>
      </c>
      <c r="L476" s="13" t="s">
        <v>498</v>
      </c>
      <c r="M476" s="12" t="str">
        <f ca="1">IF(T_MP3s[[#This Row],[ID]]=$G$3,RAND(),"")</f>
        <v/>
      </c>
    </row>
    <row r="477" spans="9:13" x14ac:dyDescent="0.25">
      <c r="I477" s="12">
        <v>115</v>
      </c>
      <c r="J477" s="13" t="s">
        <v>378</v>
      </c>
      <c r="K477" s="12" t="s">
        <v>1034</v>
      </c>
      <c r="L477" s="13" t="s">
        <v>566</v>
      </c>
      <c r="M477" s="12" t="str">
        <f ca="1">IF(T_MP3s[[#This Row],[ID]]=$G$3,RAND(),"")</f>
        <v/>
      </c>
    </row>
    <row r="478" spans="9:13" x14ac:dyDescent="0.25">
      <c r="I478" s="12">
        <v>115</v>
      </c>
      <c r="J478" s="13" t="s">
        <v>373</v>
      </c>
      <c r="K478" s="12" t="s">
        <v>1034</v>
      </c>
      <c r="L478" s="13" t="s">
        <v>737</v>
      </c>
      <c r="M478" s="12" t="str">
        <f ca="1">IF(T_MP3s[[#This Row],[ID]]=$G$3,RAND(),"")</f>
        <v/>
      </c>
    </row>
    <row r="479" spans="9:13" x14ac:dyDescent="0.25">
      <c r="I479" s="12">
        <v>115</v>
      </c>
      <c r="J479" s="13" t="s">
        <v>392</v>
      </c>
      <c r="K479" s="12" t="s">
        <v>1034</v>
      </c>
      <c r="L479" s="13" t="s">
        <v>645</v>
      </c>
      <c r="M479" s="12" t="str">
        <f ca="1">IF(T_MP3s[[#This Row],[ID]]=$G$3,RAND(),"")</f>
        <v/>
      </c>
    </row>
    <row r="480" spans="9:13" x14ac:dyDescent="0.25">
      <c r="I480" s="12">
        <v>115</v>
      </c>
      <c r="J480" s="13" t="s">
        <v>376</v>
      </c>
      <c r="K480" s="12" t="s">
        <v>1034</v>
      </c>
      <c r="L480" s="13" t="s">
        <v>838</v>
      </c>
      <c r="M480" s="12" t="str">
        <f ca="1">IF(T_MP3s[[#This Row],[ID]]=$G$3,RAND(),"")</f>
        <v/>
      </c>
    </row>
    <row r="481" spans="9:13" x14ac:dyDescent="0.25">
      <c r="I481" s="12">
        <v>116</v>
      </c>
      <c r="J481" s="13" t="s">
        <v>378</v>
      </c>
      <c r="K481" s="12" t="s">
        <v>1029</v>
      </c>
      <c r="L481" s="13" t="s">
        <v>443</v>
      </c>
      <c r="M481" s="12" t="str">
        <f ca="1">IF(T_MP3s[[#This Row],[ID]]=$G$3,RAND(),"")</f>
        <v/>
      </c>
    </row>
    <row r="482" spans="9:13" x14ac:dyDescent="0.25">
      <c r="I482" s="12">
        <v>116</v>
      </c>
      <c r="J482" s="13" t="s">
        <v>378</v>
      </c>
      <c r="K482" s="12" t="s">
        <v>1064</v>
      </c>
      <c r="L482" s="13" t="s">
        <v>950</v>
      </c>
      <c r="M482" s="12" t="str">
        <f ca="1">IF(T_MP3s[[#This Row],[ID]]=$G$3,RAND(),"")</f>
        <v/>
      </c>
    </row>
    <row r="483" spans="9:13" x14ac:dyDescent="0.25">
      <c r="I483" s="12">
        <v>116</v>
      </c>
      <c r="J483" s="13" t="s">
        <v>373</v>
      </c>
      <c r="K483" s="12" t="s">
        <v>1029</v>
      </c>
      <c r="L483" s="13" t="s">
        <v>775</v>
      </c>
      <c r="M483" s="12" t="str">
        <f ca="1">IF(T_MP3s[[#This Row],[ID]]=$G$3,RAND(),"")</f>
        <v/>
      </c>
    </row>
    <row r="484" spans="9:13" x14ac:dyDescent="0.25">
      <c r="I484" s="12">
        <v>116</v>
      </c>
      <c r="J484" s="13" t="s">
        <v>392</v>
      </c>
      <c r="K484" s="12" t="s">
        <v>1029</v>
      </c>
      <c r="L484" s="13" t="s">
        <v>896</v>
      </c>
      <c r="M484" s="12" t="str">
        <f ca="1">IF(T_MP3s[[#This Row],[ID]]=$G$3,RAND(),"")</f>
        <v/>
      </c>
    </row>
    <row r="485" spans="9:13" x14ac:dyDescent="0.25">
      <c r="I485" s="12">
        <v>117</v>
      </c>
      <c r="J485" s="13" t="s">
        <v>378</v>
      </c>
      <c r="K485" s="12" t="s">
        <v>1033</v>
      </c>
      <c r="L485" s="13" t="s">
        <v>379</v>
      </c>
      <c r="M485" s="12" t="str">
        <f ca="1">IF(T_MP3s[[#This Row],[ID]]=$G$3,RAND(),"")</f>
        <v/>
      </c>
    </row>
    <row r="486" spans="9:13" x14ac:dyDescent="0.25">
      <c r="I486" s="12">
        <v>117</v>
      </c>
      <c r="J486" s="13" t="s">
        <v>373</v>
      </c>
      <c r="K486" s="12" t="s">
        <v>1033</v>
      </c>
      <c r="L486" s="13" t="s">
        <v>716</v>
      </c>
      <c r="M486" s="12" t="str">
        <f ca="1">IF(T_MP3s[[#This Row],[ID]]=$G$3,RAND(),"")</f>
        <v/>
      </c>
    </row>
    <row r="487" spans="9:13" x14ac:dyDescent="0.25">
      <c r="I487" s="12">
        <v>117</v>
      </c>
      <c r="J487" s="13" t="s">
        <v>392</v>
      </c>
      <c r="K487" s="12" t="s">
        <v>1033</v>
      </c>
      <c r="L487" s="13" t="s">
        <v>890</v>
      </c>
      <c r="M487" s="12" t="str">
        <f ca="1">IF(T_MP3s[[#This Row],[ID]]=$G$3,RAND(),"")</f>
        <v/>
      </c>
    </row>
    <row r="488" spans="9:13" x14ac:dyDescent="0.25">
      <c r="I488" s="12">
        <v>117</v>
      </c>
      <c r="J488" s="13" t="s">
        <v>376</v>
      </c>
      <c r="K488" s="12" t="s">
        <v>1033</v>
      </c>
      <c r="L488" s="13" t="s">
        <v>424</v>
      </c>
      <c r="M488" s="12" t="str">
        <f ca="1">IF(T_MP3s[[#This Row],[ID]]=$G$3,RAND(),"")</f>
        <v/>
      </c>
    </row>
    <row r="489" spans="9:13" x14ac:dyDescent="0.25">
      <c r="I489" s="12">
        <v>118</v>
      </c>
      <c r="J489" s="13" t="s">
        <v>378</v>
      </c>
      <c r="K489" s="12" t="s">
        <v>374</v>
      </c>
      <c r="L489" s="13" t="s">
        <v>866</v>
      </c>
      <c r="M489" s="12" t="str">
        <f ca="1">IF(T_MP3s[[#This Row],[ID]]=$G$3,RAND(),"")</f>
        <v/>
      </c>
    </row>
    <row r="490" spans="9:13" x14ac:dyDescent="0.25">
      <c r="I490" s="12">
        <v>118</v>
      </c>
      <c r="J490" s="13" t="s">
        <v>373</v>
      </c>
      <c r="K490" s="12" t="s">
        <v>374</v>
      </c>
      <c r="L490" s="13" t="s">
        <v>630</v>
      </c>
      <c r="M490" s="12" t="str">
        <f ca="1">IF(T_MP3s[[#This Row],[ID]]=$G$3,RAND(),"")</f>
        <v/>
      </c>
    </row>
    <row r="491" spans="9:13" x14ac:dyDescent="0.25">
      <c r="I491" s="12">
        <v>118</v>
      </c>
      <c r="J491" s="13" t="s">
        <v>392</v>
      </c>
      <c r="K491" s="12" t="s">
        <v>374</v>
      </c>
      <c r="L491" s="13" t="s">
        <v>554</v>
      </c>
      <c r="M491" s="12" t="str">
        <f ca="1">IF(T_MP3s[[#This Row],[ID]]=$G$3,RAND(),"")</f>
        <v/>
      </c>
    </row>
    <row r="492" spans="9:13" x14ac:dyDescent="0.25">
      <c r="I492" s="12">
        <v>118</v>
      </c>
      <c r="J492" s="13" t="s">
        <v>376</v>
      </c>
      <c r="K492" s="12" t="s">
        <v>374</v>
      </c>
      <c r="L492" s="13" t="s">
        <v>420</v>
      </c>
      <c r="M492" s="12" t="str">
        <f ca="1">IF(T_MP3s[[#This Row],[ID]]=$G$3,RAND(),"")</f>
        <v/>
      </c>
    </row>
    <row r="493" spans="9:13" x14ac:dyDescent="0.25">
      <c r="I493" s="12">
        <v>119</v>
      </c>
      <c r="J493" s="13" t="s">
        <v>378</v>
      </c>
      <c r="K493" s="12" t="s">
        <v>374</v>
      </c>
      <c r="L493" s="13" t="s">
        <v>800</v>
      </c>
      <c r="M493" s="12" t="str">
        <f ca="1">IF(T_MP3s[[#This Row],[ID]]=$G$3,RAND(),"")</f>
        <v/>
      </c>
    </row>
    <row r="494" spans="9:13" x14ac:dyDescent="0.25">
      <c r="I494" s="12">
        <v>119</v>
      </c>
      <c r="J494" s="13" t="s">
        <v>373</v>
      </c>
      <c r="K494" s="12" t="s">
        <v>374</v>
      </c>
      <c r="L494" s="13" t="s">
        <v>418</v>
      </c>
      <c r="M494" s="12" t="str">
        <f ca="1">IF(T_MP3s[[#This Row],[ID]]=$G$3,RAND(),"")</f>
        <v/>
      </c>
    </row>
    <row r="495" spans="9:13" x14ac:dyDescent="0.25">
      <c r="I495" s="12">
        <v>119</v>
      </c>
      <c r="J495" s="13" t="s">
        <v>392</v>
      </c>
      <c r="K495" s="12" t="s">
        <v>374</v>
      </c>
      <c r="L495" s="13" t="s">
        <v>624</v>
      </c>
      <c r="M495" s="12" t="str">
        <f ca="1">IF(T_MP3s[[#This Row],[ID]]=$G$3,RAND(),"")</f>
        <v/>
      </c>
    </row>
    <row r="496" spans="9:13" x14ac:dyDescent="0.25">
      <c r="I496" s="12">
        <v>119</v>
      </c>
      <c r="J496" s="13" t="s">
        <v>376</v>
      </c>
      <c r="K496" s="12" t="s">
        <v>374</v>
      </c>
      <c r="L496" s="13" t="s">
        <v>411</v>
      </c>
      <c r="M496" s="12" t="str">
        <f ca="1">IF(T_MP3s[[#This Row],[ID]]=$G$3,RAND(),"")</f>
        <v/>
      </c>
    </row>
    <row r="497" spans="9:13" x14ac:dyDescent="0.25">
      <c r="I497" s="12">
        <v>120</v>
      </c>
      <c r="J497" s="13" t="s">
        <v>378</v>
      </c>
      <c r="K497" s="12" t="s">
        <v>374</v>
      </c>
      <c r="L497" s="13" t="s">
        <v>752</v>
      </c>
      <c r="M497" s="12" t="str">
        <f ca="1">IF(T_MP3s[[#This Row],[ID]]=$G$3,RAND(),"")</f>
        <v/>
      </c>
    </row>
    <row r="498" spans="9:13" x14ac:dyDescent="0.25">
      <c r="I498" s="12">
        <v>120</v>
      </c>
      <c r="J498" s="13" t="s">
        <v>373</v>
      </c>
      <c r="K498" s="12" t="s">
        <v>374</v>
      </c>
      <c r="L498" s="13" t="s">
        <v>844</v>
      </c>
      <c r="M498" s="12" t="str">
        <f ca="1">IF(T_MP3s[[#This Row],[ID]]=$G$3,RAND(),"")</f>
        <v/>
      </c>
    </row>
    <row r="499" spans="9:13" x14ac:dyDescent="0.25">
      <c r="I499" s="12">
        <v>120</v>
      </c>
      <c r="J499" s="13" t="s">
        <v>392</v>
      </c>
      <c r="K499" s="12" t="s">
        <v>374</v>
      </c>
      <c r="L499" s="13" t="s">
        <v>909</v>
      </c>
      <c r="M499" s="12" t="str">
        <f ca="1">IF(T_MP3s[[#This Row],[ID]]=$G$3,RAND(),"")</f>
        <v/>
      </c>
    </row>
    <row r="500" spans="9:13" x14ac:dyDescent="0.25">
      <c r="I500" s="12">
        <v>120</v>
      </c>
      <c r="J500" s="13" t="s">
        <v>376</v>
      </c>
      <c r="K500" s="12" t="s">
        <v>374</v>
      </c>
      <c r="L500" s="13" t="s">
        <v>496</v>
      </c>
      <c r="M500" s="12" t="str">
        <f ca="1">IF(T_MP3s[[#This Row],[ID]]=$G$3,RAND(),"")</f>
        <v/>
      </c>
    </row>
    <row r="501" spans="9:13" x14ac:dyDescent="0.25">
      <c r="I501" s="12">
        <v>121</v>
      </c>
      <c r="J501" s="13" t="s">
        <v>378</v>
      </c>
      <c r="K501" s="12" t="s">
        <v>374</v>
      </c>
      <c r="L501" s="13" t="s">
        <v>736</v>
      </c>
      <c r="M501" s="12" t="str">
        <f ca="1">IF(T_MP3s[[#This Row],[ID]]=$G$3,RAND(),"")</f>
        <v/>
      </c>
    </row>
    <row r="502" spans="9:13" x14ac:dyDescent="0.25">
      <c r="I502" s="12">
        <v>121</v>
      </c>
      <c r="J502" s="13" t="s">
        <v>373</v>
      </c>
      <c r="K502" s="12" t="s">
        <v>374</v>
      </c>
      <c r="L502" s="13" t="s">
        <v>530</v>
      </c>
      <c r="M502" s="12" t="str">
        <f ca="1">IF(T_MP3s[[#This Row],[ID]]=$G$3,RAND(),"")</f>
        <v/>
      </c>
    </row>
    <row r="503" spans="9:13" x14ac:dyDescent="0.25">
      <c r="I503" s="12">
        <v>121</v>
      </c>
      <c r="J503" s="13" t="s">
        <v>392</v>
      </c>
      <c r="K503" s="12" t="s">
        <v>374</v>
      </c>
      <c r="L503" s="13" t="s">
        <v>967</v>
      </c>
      <c r="M503" s="12" t="str">
        <f ca="1">IF(T_MP3s[[#This Row],[ID]]=$G$3,RAND(),"")</f>
        <v/>
      </c>
    </row>
    <row r="504" spans="9:13" x14ac:dyDescent="0.25">
      <c r="I504" s="12">
        <v>121</v>
      </c>
      <c r="J504" s="13" t="s">
        <v>376</v>
      </c>
      <c r="K504" s="12" t="s">
        <v>374</v>
      </c>
      <c r="L504" s="13" t="s">
        <v>609</v>
      </c>
      <c r="M504" s="12" t="str">
        <f ca="1">IF(T_MP3s[[#This Row],[ID]]=$G$3,RAND(),"")</f>
        <v/>
      </c>
    </row>
    <row r="505" spans="9:13" x14ac:dyDescent="0.25">
      <c r="I505" s="12">
        <v>122</v>
      </c>
      <c r="J505" s="13" t="s">
        <v>378</v>
      </c>
      <c r="K505" s="12" t="s">
        <v>374</v>
      </c>
      <c r="L505" s="13" t="s">
        <v>657</v>
      </c>
      <c r="M505" s="12" t="str">
        <f ca="1">IF(T_MP3s[[#This Row],[ID]]=$G$3,RAND(),"")</f>
        <v/>
      </c>
    </row>
    <row r="506" spans="9:13" x14ac:dyDescent="0.25">
      <c r="I506" s="12">
        <v>122</v>
      </c>
      <c r="J506" s="13" t="s">
        <v>373</v>
      </c>
      <c r="K506" s="12" t="s">
        <v>374</v>
      </c>
      <c r="L506" s="13" t="s">
        <v>829</v>
      </c>
      <c r="M506" s="12" t="str">
        <f ca="1">IF(T_MP3s[[#This Row],[ID]]=$G$3,RAND(),"")</f>
        <v/>
      </c>
    </row>
    <row r="507" spans="9:13" x14ac:dyDescent="0.25">
      <c r="I507" s="12">
        <v>122</v>
      </c>
      <c r="J507" s="13" t="s">
        <v>392</v>
      </c>
      <c r="K507" s="12" t="s">
        <v>374</v>
      </c>
      <c r="L507" s="13" t="s">
        <v>473</v>
      </c>
      <c r="M507" s="12" t="str">
        <f ca="1">IF(T_MP3s[[#This Row],[ID]]=$G$3,RAND(),"")</f>
        <v/>
      </c>
    </row>
    <row r="508" spans="9:13" x14ac:dyDescent="0.25">
      <c r="I508" s="12">
        <v>122</v>
      </c>
      <c r="J508" s="13" t="s">
        <v>376</v>
      </c>
      <c r="K508" s="12" t="s">
        <v>374</v>
      </c>
      <c r="L508" s="13" t="s">
        <v>631</v>
      </c>
      <c r="M508" s="12" t="str">
        <f ca="1">IF(T_MP3s[[#This Row],[ID]]=$G$3,RAND(),"")</f>
        <v/>
      </c>
    </row>
    <row r="509" spans="9:13" x14ac:dyDescent="0.25">
      <c r="I509" s="12">
        <v>123</v>
      </c>
      <c r="J509" s="13" t="s">
        <v>378</v>
      </c>
      <c r="K509" s="12" t="s">
        <v>374</v>
      </c>
      <c r="L509" s="13" t="s">
        <v>1003</v>
      </c>
      <c r="M509" s="12" t="str">
        <f ca="1">IF(T_MP3s[[#This Row],[ID]]=$G$3,RAND(),"")</f>
        <v/>
      </c>
    </row>
    <row r="510" spans="9:13" x14ac:dyDescent="0.25">
      <c r="I510" s="12">
        <v>123</v>
      </c>
      <c r="J510" s="13" t="s">
        <v>373</v>
      </c>
      <c r="K510" s="12" t="s">
        <v>374</v>
      </c>
      <c r="L510" s="13" t="s">
        <v>942</v>
      </c>
      <c r="M510" s="12" t="str">
        <f ca="1">IF(T_MP3s[[#This Row],[ID]]=$G$3,RAND(),"")</f>
        <v/>
      </c>
    </row>
    <row r="511" spans="9:13" x14ac:dyDescent="0.25">
      <c r="I511" s="12">
        <v>123</v>
      </c>
      <c r="J511" s="13" t="s">
        <v>392</v>
      </c>
      <c r="K511" s="12" t="s">
        <v>374</v>
      </c>
      <c r="L511" s="13" t="s">
        <v>558</v>
      </c>
      <c r="M511" s="12" t="str">
        <f ca="1">IF(T_MP3s[[#This Row],[ID]]=$G$3,RAND(),"")</f>
        <v/>
      </c>
    </row>
    <row r="512" spans="9:13" x14ac:dyDescent="0.25">
      <c r="I512" s="12">
        <v>123</v>
      </c>
      <c r="J512" s="13" t="s">
        <v>376</v>
      </c>
      <c r="K512" s="12" t="s">
        <v>374</v>
      </c>
      <c r="L512" s="13" t="s">
        <v>487</v>
      </c>
      <c r="M512" s="12" t="str">
        <f ca="1">IF(T_MP3s[[#This Row],[ID]]=$G$3,RAND(),"")</f>
        <v/>
      </c>
    </row>
    <row r="513" spans="9:13" x14ac:dyDescent="0.25">
      <c r="I513" s="12">
        <v>124</v>
      </c>
      <c r="J513" s="13" t="s">
        <v>378</v>
      </c>
      <c r="K513" s="12" t="s">
        <v>374</v>
      </c>
      <c r="L513" s="13" t="s">
        <v>688</v>
      </c>
      <c r="M513" s="12" t="str">
        <f ca="1">IF(T_MP3s[[#This Row],[ID]]=$G$3,RAND(),"")</f>
        <v/>
      </c>
    </row>
    <row r="514" spans="9:13" x14ac:dyDescent="0.25">
      <c r="I514" s="12">
        <v>124</v>
      </c>
      <c r="J514" s="13" t="s">
        <v>373</v>
      </c>
      <c r="K514" s="12" t="s">
        <v>374</v>
      </c>
      <c r="L514" s="13" t="s">
        <v>895</v>
      </c>
      <c r="M514" s="12" t="str">
        <f ca="1">IF(T_MP3s[[#This Row],[ID]]=$G$3,RAND(),"")</f>
        <v/>
      </c>
    </row>
    <row r="515" spans="9:13" x14ac:dyDescent="0.25">
      <c r="I515" s="12">
        <v>124</v>
      </c>
      <c r="J515" s="13" t="s">
        <v>392</v>
      </c>
      <c r="K515" s="12" t="s">
        <v>374</v>
      </c>
      <c r="L515" s="13" t="s">
        <v>562</v>
      </c>
      <c r="M515" s="12" t="str">
        <f ca="1">IF(T_MP3s[[#This Row],[ID]]=$G$3,RAND(),"")</f>
        <v/>
      </c>
    </row>
    <row r="516" spans="9:13" x14ac:dyDescent="0.25">
      <c r="I516" s="12">
        <v>124</v>
      </c>
      <c r="J516" s="13" t="s">
        <v>376</v>
      </c>
      <c r="K516" s="12" t="s">
        <v>374</v>
      </c>
      <c r="L516" s="13" t="s">
        <v>968</v>
      </c>
      <c r="M516" s="12" t="str">
        <f ca="1">IF(T_MP3s[[#This Row],[ID]]=$G$3,RAND(),"")</f>
        <v/>
      </c>
    </row>
    <row r="517" spans="9:13" x14ac:dyDescent="0.25">
      <c r="I517" s="12">
        <v>125</v>
      </c>
      <c r="J517" s="13" t="s">
        <v>378</v>
      </c>
      <c r="K517" s="12" t="s">
        <v>374</v>
      </c>
      <c r="L517" s="13" t="s">
        <v>791</v>
      </c>
      <c r="M517" s="12" t="str">
        <f ca="1">IF(T_MP3s[[#This Row],[ID]]=$G$3,RAND(),"")</f>
        <v/>
      </c>
    </row>
    <row r="518" spans="9:13" x14ac:dyDescent="0.25">
      <c r="I518" s="12">
        <v>125</v>
      </c>
      <c r="J518" s="13" t="s">
        <v>373</v>
      </c>
      <c r="K518" s="12" t="s">
        <v>374</v>
      </c>
      <c r="L518" s="13" t="s">
        <v>924</v>
      </c>
      <c r="M518" s="12" t="str">
        <f ca="1">IF(T_MP3s[[#This Row],[ID]]=$G$3,RAND(),"")</f>
        <v/>
      </c>
    </row>
    <row r="519" spans="9:13" x14ac:dyDescent="0.25">
      <c r="I519" s="12">
        <v>125</v>
      </c>
      <c r="J519" s="13" t="s">
        <v>392</v>
      </c>
      <c r="K519" s="12" t="s">
        <v>374</v>
      </c>
      <c r="L519" s="13" t="s">
        <v>851</v>
      </c>
      <c r="M519" s="12" t="str">
        <f ca="1">IF(T_MP3s[[#This Row],[ID]]=$G$3,RAND(),"")</f>
        <v/>
      </c>
    </row>
    <row r="520" spans="9:13" x14ac:dyDescent="0.25">
      <c r="I520" s="12">
        <v>125</v>
      </c>
      <c r="J520" s="13" t="s">
        <v>376</v>
      </c>
      <c r="K520" s="12" t="s">
        <v>374</v>
      </c>
      <c r="L520" s="13" t="s">
        <v>687</v>
      </c>
      <c r="M520" s="12" t="str">
        <f ca="1">IF(T_MP3s[[#This Row],[ID]]=$G$3,RAND(),"")</f>
        <v/>
      </c>
    </row>
    <row r="521" spans="9:13" x14ac:dyDescent="0.25">
      <c r="I521" s="12">
        <v>126</v>
      </c>
      <c r="J521" s="13" t="s">
        <v>378</v>
      </c>
      <c r="K521" s="12" t="s">
        <v>374</v>
      </c>
      <c r="L521" s="13" t="s">
        <v>538</v>
      </c>
      <c r="M521" s="12" t="str">
        <f ca="1">IF(T_MP3s[[#This Row],[ID]]=$G$3,RAND(),"")</f>
        <v/>
      </c>
    </row>
    <row r="522" spans="9:13" x14ac:dyDescent="0.25">
      <c r="I522" s="12">
        <v>126</v>
      </c>
      <c r="J522" s="13" t="s">
        <v>373</v>
      </c>
      <c r="K522" s="12" t="s">
        <v>374</v>
      </c>
      <c r="L522" s="13" t="s">
        <v>664</v>
      </c>
      <c r="M522" s="12" t="str">
        <f ca="1">IF(T_MP3s[[#This Row],[ID]]=$G$3,RAND(),"")</f>
        <v/>
      </c>
    </row>
    <row r="523" spans="9:13" x14ac:dyDescent="0.25">
      <c r="I523" s="12">
        <v>126</v>
      </c>
      <c r="J523" s="13" t="s">
        <v>392</v>
      </c>
      <c r="K523" s="12" t="s">
        <v>374</v>
      </c>
      <c r="L523" s="13" t="s">
        <v>462</v>
      </c>
      <c r="M523" s="12" t="str">
        <f ca="1">IF(T_MP3s[[#This Row],[ID]]=$G$3,RAND(),"")</f>
        <v/>
      </c>
    </row>
    <row r="524" spans="9:13" x14ac:dyDescent="0.25">
      <c r="I524" s="12">
        <v>126</v>
      </c>
      <c r="J524" s="13" t="s">
        <v>376</v>
      </c>
      <c r="K524" s="12" t="s">
        <v>374</v>
      </c>
      <c r="L524" s="13" t="s">
        <v>452</v>
      </c>
      <c r="M524" s="12" t="str">
        <f ca="1">IF(T_MP3s[[#This Row],[ID]]=$G$3,RAND(),"")</f>
        <v/>
      </c>
    </row>
    <row r="525" spans="9:13" x14ac:dyDescent="0.25">
      <c r="I525" s="12">
        <v>127</v>
      </c>
      <c r="J525" s="13" t="s">
        <v>378</v>
      </c>
      <c r="K525" s="12" t="s">
        <v>374</v>
      </c>
      <c r="L525" s="13" t="s">
        <v>849</v>
      </c>
      <c r="M525" s="12" t="str">
        <f ca="1">IF(T_MP3s[[#This Row],[ID]]=$G$3,RAND(),"")</f>
        <v/>
      </c>
    </row>
    <row r="526" spans="9:13" x14ac:dyDescent="0.25">
      <c r="I526" s="12">
        <v>127</v>
      </c>
      <c r="J526" s="13" t="s">
        <v>373</v>
      </c>
      <c r="K526" s="12" t="s">
        <v>374</v>
      </c>
      <c r="L526" s="13" t="s">
        <v>899</v>
      </c>
      <c r="M526" s="12" t="str">
        <f ca="1">IF(T_MP3s[[#This Row],[ID]]=$G$3,RAND(),"")</f>
        <v/>
      </c>
    </row>
    <row r="527" spans="9:13" x14ac:dyDescent="0.25">
      <c r="I527" s="12">
        <v>127</v>
      </c>
      <c r="J527" s="13" t="s">
        <v>392</v>
      </c>
      <c r="K527" s="12" t="s">
        <v>374</v>
      </c>
      <c r="L527" s="13" t="s">
        <v>666</v>
      </c>
      <c r="M527" s="12" t="str">
        <f ca="1">IF(T_MP3s[[#This Row],[ID]]=$G$3,RAND(),"")</f>
        <v/>
      </c>
    </row>
    <row r="528" spans="9:13" x14ac:dyDescent="0.25">
      <c r="I528" s="12">
        <v>127</v>
      </c>
      <c r="J528" s="13" t="s">
        <v>376</v>
      </c>
      <c r="K528" s="12" t="s">
        <v>374</v>
      </c>
      <c r="L528" s="13" t="s">
        <v>788</v>
      </c>
      <c r="M528" s="12" t="str">
        <f ca="1">IF(T_MP3s[[#This Row],[ID]]=$G$3,RAND(),"")</f>
        <v/>
      </c>
    </row>
    <row r="529" spans="9:13" x14ac:dyDescent="0.25">
      <c r="I529" s="12">
        <v>128</v>
      </c>
      <c r="J529" s="13" t="s">
        <v>378</v>
      </c>
      <c r="K529" s="12" t="s">
        <v>374</v>
      </c>
      <c r="L529" s="13" t="s">
        <v>932</v>
      </c>
      <c r="M529" s="12" t="str">
        <f ca="1">IF(T_MP3s[[#This Row],[ID]]=$G$3,RAND(),"")</f>
        <v/>
      </c>
    </row>
    <row r="530" spans="9:13" x14ac:dyDescent="0.25">
      <c r="I530" s="12">
        <v>128</v>
      </c>
      <c r="J530" s="13" t="s">
        <v>373</v>
      </c>
      <c r="K530" s="12" t="s">
        <v>374</v>
      </c>
      <c r="L530" s="13" t="s">
        <v>840</v>
      </c>
      <c r="M530" s="12" t="str">
        <f ca="1">IF(T_MP3s[[#This Row],[ID]]=$G$3,RAND(),"")</f>
        <v/>
      </c>
    </row>
    <row r="531" spans="9:13" x14ac:dyDescent="0.25">
      <c r="I531" s="12">
        <v>128</v>
      </c>
      <c r="J531" s="13" t="s">
        <v>392</v>
      </c>
      <c r="K531" s="12" t="s">
        <v>374</v>
      </c>
      <c r="L531" s="13" t="s">
        <v>434</v>
      </c>
      <c r="M531" s="12" t="str">
        <f ca="1">IF(T_MP3s[[#This Row],[ID]]=$G$3,RAND(),"")</f>
        <v/>
      </c>
    </row>
    <row r="532" spans="9:13" x14ac:dyDescent="0.25">
      <c r="I532" s="12">
        <v>128</v>
      </c>
      <c r="J532" s="13" t="s">
        <v>376</v>
      </c>
      <c r="K532" s="12" t="s">
        <v>374</v>
      </c>
      <c r="L532" s="13" t="s">
        <v>618</v>
      </c>
      <c r="M532" s="12" t="str">
        <f ca="1">IF(T_MP3s[[#This Row],[ID]]=$G$3,RAND(),"")</f>
        <v/>
      </c>
    </row>
    <row r="533" spans="9:13" x14ac:dyDescent="0.25">
      <c r="I533" s="12">
        <v>129</v>
      </c>
      <c r="J533" s="13" t="s">
        <v>378</v>
      </c>
      <c r="K533" s="12" t="s">
        <v>374</v>
      </c>
      <c r="L533" s="13" t="s">
        <v>532</v>
      </c>
      <c r="M533" s="12" t="str">
        <f ca="1">IF(T_MP3s[[#This Row],[ID]]=$G$3,RAND(),"")</f>
        <v/>
      </c>
    </row>
    <row r="534" spans="9:13" x14ac:dyDescent="0.25">
      <c r="I534" s="12">
        <v>129</v>
      </c>
      <c r="J534" s="13" t="s">
        <v>373</v>
      </c>
      <c r="K534" s="12" t="s">
        <v>374</v>
      </c>
      <c r="L534" s="13" t="s">
        <v>928</v>
      </c>
      <c r="M534" s="12" t="str">
        <f ca="1">IF(T_MP3s[[#This Row],[ID]]=$G$3,RAND(),"")</f>
        <v/>
      </c>
    </row>
    <row r="535" spans="9:13" x14ac:dyDescent="0.25">
      <c r="I535" s="12">
        <v>129</v>
      </c>
      <c r="J535" s="13" t="s">
        <v>392</v>
      </c>
      <c r="K535" s="12" t="s">
        <v>374</v>
      </c>
      <c r="L535" s="13" t="s">
        <v>689</v>
      </c>
      <c r="M535" s="12" t="str">
        <f ca="1">IF(T_MP3s[[#This Row],[ID]]=$G$3,RAND(),"")</f>
        <v/>
      </c>
    </row>
    <row r="536" spans="9:13" x14ac:dyDescent="0.25">
      <c r="I536" s="12">
        <v>129</v>
      </c>
      <c r="J536" s="13" t="s">
        <v>376</v>
      </c>
      <c r="K536" s="12" t="s">
        <v>374</v>
      </c>
      <c r="L536" s="13" t="s">
        <v>808</v>
      </c>
      <c r="M536" s="12" t="str">
        <f ca="1">IF(T_MP3s[[#This Row],[ID]]=$G$3,RAND(),"")</f>
        <v/>
      </c>
    </row>
    <row r="537" spans="9:13" x14ac:dyDescent="0.25">
      <c r="I537" s="12">
        <v>130</v>
      </c>
      <c r="J537" s="13" t="s">
        <v>378</v>
      </c>
      <c r="K537" s="12" t="s">
        <v>374</v>
      </c>
      <c r="L537" s="13" t="s">
        <v>936</v>
      </c>
      <c r="M537" s="12" t="str">
        <f ca="1">IF(T_MP3s[[#This Row],[ID]]=$G$3,RAND(),"")</f>
        <v/>
      </c>
    </row>
    <row r="538" spans="9:13" x14ac:dyDescent="0.25">
      <c r="I538" s="12">
        <v>130</v>
      </c>
      <c r="J538" s="13" t="s">
        <v>373</v>
      </c>
      <c r="K538" s="12" t="s">
        <v>374</v>
      </c>
      <c r="L538" s="13" t="s">
        <v>885</v>
      </c>
      <c r="M538" s="12" t="str">
        <f ca="1">IF(T_MP3s[[#This Row],[ID]]=$G$3,RAND(),"")</f>
        <v/>
      </c>
    </row>
    <row r="539" spans="9:13" x14ac:dyDescent="0.25">
      <c r="I539" s="12">
        <v>130</v>
      </c>
      <c r="J539" s="13" t="s">
        <v>392</v>
      </c>
      <c r="K539" s="12" t="s">
        <v>374</v>
      </c>
      <c r="L539" s="13" t="s">
        <v>685</v>
      </c>
      <c r="M539" s="12" t="str">
        <f ca="1">IF(T_MP3s[[#This Row],[ID]]=$G$3,RAND(),"")</f>
        <v/>
      </c>
    </row>
    <row r="540" spans="9:13" x14ac:dyDescent="0.25">
      <c r="I540" s="12">
        <v>130</v>
      </c>
      <c r="J540" s="13" t="s">
        <v>376</v>
      </c>
      <c r="K540" s="12" t="s">
        <v>374</v>
      </c>
      <c r="L540" s="13" t="s">
        <v>472</v>
      </c>
      <c r="M540" s="12" t="str">
        <f ca="1">IF(T_MP3s[[#This Row],[ID]]=$G$3,RAND(),"")</f>
        <v/>
      </c>
    </row>
    <row r="541" spans="9:13" x14ac:dyDescent="0.25">
      <c r="I541" s="12">
        <v>131</v>
      </c>
      <c r="J541" s="13" t="s">
        <v>378</v>
      </c>
      <c r="K541" s="12" t="s">
        <v>374</v>
      </c>
      <c r="L541" s="13" t="s">
        <v>848</v>
      </c>
      <c r="M541" s="12" t="str">
        <f ca="1">IF(T_MP3s[[#This Row],[ID]]=$G$3,RAND(),"")</f>
        <v/>
      </c>
    </row>
    <row r="542" spans="9:13" x14ac:dyDescent="0.25">
      <c r="I542" s="12">
        <v>131</v>
      </c>
      <c r="J542" s="13" t="s">
        <v>373</v>
      </c>
      <c r="K542" s="12" t="s">
        <v>374</v>
      </c>
      <c r="L542" s="13" t="s">
        <v>725</v>
      </c>
      <c r="M542" s="12" t="str">
        <f ca="1">IF(T_MP3s[[#This Row],[ID]]=$G$3,RAND(),"")</f>
        <v/>
      </c>
    </row>
    <row r="543" spans="9:13" x14ac:dyDescent="0.25">
      <c r="I543" s="12">
        <v>131</v>
      </c>
      <c r="J543" s="13" t="s">
        <v>392</v>
      </c>
      <c r="K543" s="12" t="s">
        <v>374</v>
      </c>
      <c r="L543" s="13" t="s">
        <v>701</v>
      </c>
      <c r="M543" s="12" t="str">
        <f ca="1">IF(T_MP3s[[#This Row],[ID]]=$G$3,RAND(),"")</f>
        <v/>
      </c>
    </row>
    <row r="544" spans="9:13" x14ac:dyDescent="0.25">
      <c r="I544" s="12">
        <v>131</v>
      </c>
      <c r="J544" s="13" t="s">
        <v>376</v>
      </c>
      <c r="K544" s="12" t="s">
        <v>374</v>
      </c>
      <c r="L544" s="13" t="s">
        <v>714</v>
      </c>
      <c r="M544" s="12" t="str">
        <f ca="1">IF(T_MP3s[[#This Row],[ID]]=$G$3,RAND(),"")</f>
        <v/>
      </c>
    </row>
    <row r="545" spans="9:13" x14ac:dyDescent="0.25">
      <c r="I545" s="12">
        <v>132</v>
      </c>
      <c r="J545" s="13" t="s">
        <v>378</v>
      </c>
      <c r="K545" s="12" t="s">
        <v>374</v>
      </c>
      <c r="L545" s="13" t="s">
        <v>686</v>
      </c>
      <c r="M545" s="12" t="str">
        <f ca="1">IF(T_MP3s[[#This Row],[ID]]=$G$3,RAND(),"")</f>
        <v/>
      </c>
    </row>
    <row r="546" spans="9:13" x14ac:dyDescent="0.25">
      <c r="I546" s="12">
        <v>132</v>
      </c>
      <c r="J546" s="13" t="s">
        <v>373</v>
      </c>
      <c r="K546" s="12" t="s">
        <v>374</v>
      </c>
      <c r="L546" s="13" t="s">
        <v>561</v>
      </c>
      <c r="M546" s="12" t="str">
        <f ca="1">IF(T_MP3s[[#This Row],[ID]]=$G$3,RAND(),"")</f>
        <v/>
      </c>
    </row>
    <row r="547" spans="9:13" x14ac:dyDescent="0.25">
      <c r="I547" s="12">
        <v>132</v>
      </c>
      <c r="J547" s="13" t="s">
        <v>392</v>
      </c>
      <c r="K547" s="12" t="s">
        <v>374</v>
      </c>
      <c r="L547" s="13" t="s">
        <v>961</v>
      </c>
      <c r="M547" s="12" t="str">
        <f ca="1">IF(T_MP3s[[#This Row],[ID]]=$G$3,RAND(),"")</f>
        <v/>
      </c>
    </row>
    <row r="548" spans="9:13" x14ac:dyDescent="0.25">
      <c r="I548" s="12">
        <v>132</v>
      </c>
      <c r="J548" s="13" t="s">
        <v>376</v>
      </c>
      <c r="K548" s="12" t="s">
        <v>374</v>
      </c>
      <c r="L548" s="13" t="s">
        <v>416</v>
      </c>
      <c r="M548" s="12" t="str">
        <f ca="1">IF(T_MP3s[[#This Row],[ID]]=$G$3,RAND(),"")</f>
        <v/>
      </c>
    </row>
    <row r="549" spans="9:13" x14ac:dyDescent="0.25">
      <c r="I549" s="12">
        <v>133</v>
      </c>
      <c r="J549" s="13" t="s">
        <v>378</v>
      </c>
      <c r="K549" s="12" t="s">
        <v>374</v>
      </c>
      <c r="L549" s="13" t="s">
        <v>429</v>
      </c>
      <c r="M549" s="12" t="str">
        <f ca="1">IF(T_MP3s[[#This Row],[ID]]=$G$3,RAND(),"")</f>
        <v/>
      </c>
    </row>
    <row r="550" spans="9:13" x14ac:dyDescent="0.25">
      <c r="I550" s="12">
        <v>133</v>
      </c>
      <c r="J550" s="13" t="s">
        <v>373</v>
      </c>
      <c r="K550" s="12" t="s">
        <v>374</v>
      </c>
      <c r="L550" s="13" t="s">
        <v>587</v>
      </c>
      <c r="M550" s="12" t="str">
        <f ca="1">IF(T_MP3s[[#This Row],[ID]]=$G$3,RAND(),"")</f>
        <v/>
      </c>
    </row>
    <row r="551" spans="9:13" x14ac:dyDescent="0.25">
      <c r="I551" s="12">
        <v>133</v>
      </c>
      <c r="J551" s="13" t="s">
        <v>392</v>
      </c>
      <c r="K551" s="12" t="s">
        <v>374</v>
      </c>
      <c r="L551" s="13" t="s">
        <v>654</v>
      </c>
      <c r="M551" s="12" t="str">
        <f ca="1">IF(T_MP3s[[#This Row],[ID]]=$G$3,RAND(),"")</f>
        <v/>
      </c>
    </row>
    <row r="552" spans="9:13" x14ac:dyDescent="0.25">
      <c r="I552" s="12">
        <v>133</v>
      </c>
      <c r="J552" s="13" t="s">
        <v>376</v>
      </c>
      <c r="K552" s="12" t="s">
        <v>374</v>
      </c>
      <c r="L552" s="13" t="s">
        <v>978</v>
      </c>
      <c r="M552" s="12" t="str">
        <f ca="1">IF(T_MP3s[[#This Row],[ID]]=$G$3,RAND(),"")</f>
        <v/>
      </c>
    </row>
    <row r="553" spans="9:13" x14ac:dyDescent="0.25">
      <c r="I553" s="12">
        <v>134</v>
      </c>
      <c r="J553" s="13" t="s">
        <v>378</v>
      </c>
      <c r="K553" s="12" t="s">
        <v>374</v>
      </c>
      <c r="L553" s="13" t="s">
        <v>574</v>
      </c>
      <c r="M553" s="12" t="str">
        <f ca="1">IF(T_MP3s[[#This Row],[ID]]=$G$3,RAND(),"")</f>
        <v/>
      </c>
    </row>
    <row r="554" spans="9:13" x14ac:dyDescent="0.25">
      <c r="I554" s="12">
        <v>134</v>
      </c>
      <c r="J554" s="13" t="s">
        <v>373</v>
      </c>
      <c r="K554" s="12" t="s">
        <v>374</v>
      </c>
      <c r="L554" s="13" t="s">
        <v>375</v>
      </c>
      <c r="M554" s="12" t="str">
        <f ca="1">IF(T_MP3s[[#This Row],[ID]]=$G$3,RAND(),"")</f>
        <v/>
      </c>
    </row>
    <row r="555" spans="9:13" x14ac:dyDescent="0.25">
      <c r="I555" s="12">
        <v>134</v>
      </c>
      <c r="J555" s="13" t="s">
        <v>392</v>
      </c>
      <c r="K555" s="12" t="s">
        <v>374</v>
      </c>
      <c r="L555" s="13" t="s">
        <v>589</v>
      </c>
      <c r="M555" s="12" t="str">
        <f ca="1">IF(T_MP3s[[#This Row],[ID]]=$G$3,RAND(),"")</f>
        <v/>
      </c>
    </row>
    <row r="556" spans="9:13" x14ac:dyDescent="0.25">
      <c r="I556" s="12">
        <v>134</v>
      </c>
      <c r="J556" s="13" t="s">
        <v>376</v>
      </c>
      <c r="K556" s="12" t="s">
        <v>374</v>
      </c>
      <c r="L556" s="13" t="s">
        <v>930</v>
      </c>
      <c r="M556" s="12" t="str">
        <f ca="1">IF(T_MP3s[[#This Row],[ID]]=$G$3,RAND(),"")</f>
        <v/>
      </c>
    </row>
    <row r="557" spans="9:13" x14ac:dyDescent="0.25">
      <c r="I557" s="12">
        <v>135</v>
      </c>
      <c r="J557" s="13" t="s">
        <v>378</v>
      </c>
      <c r="K557" s="12" t="s">
        <v>374</v>
      </c>
      <c r="L557" s="13" t="s">
        <v>432</v>
      </c>
      <c r="M557" s="12" t="str">
        <f ca="1">IF(T_MP3s[[#This Row],[ID]]=$G$3,RAND(),"")</f>
        <v/>
      </c>
    </row>
    <row r="558" spans="9:13" x14ac:dyDescent="0.25">
      <c r="I558" s="12">
        <v>135</v>
      </c>
      <c r="J558" s="13" t="s">
        <v>373</v>
      </c>
      <c r="K558" s="12" t="s">
        <v>374</v>
      </c>
      <c r="L558" s="13" t="s">
        <v>669</v>
      </c>
      <c r="M558" s="12" t="str">
        <f ca="1">IF(T_MP3s[[#This Row],[ID]]=$G$3,RAND(),"")</f>
        <v/>
      </c>
    </row>
    <row r="559" spans="9:13" x14ac:dyDescent="0.25">
      <c r="I559" s="12">
        <v>135</v>
      </c>
      <c r="J559" s="13" t="s">
        <v>392</v>
      </c>
      <c r="K559" s="12" t="s">
        <v>374</v>
      </c>
      <c r="L559" s="13" t="s">
        <v>933</v>
      </c>
      <c r="M559" s="12" t="str">
        <f ca="1">IF(T_MP3s[[#This Row],[ID]]=$G$3,RAND(),"")</f>
        <v/>
      </c>
    </row>
    <row r="560" spans="9:13" x14ac:dyDescent="0.25">
      <c r="I560" s="12">
        <v>135</v>
      </c>
      <c r="J560" s="13" t="s">
        <v>376</v>
      </c>
      <c r="K560" s="12" t="s">
        <v>374</v>
      </c>
      <c r="L560" s="13" t="s">
        <v>756</v>
      </c>
      <c r="M560" s="12" t="str">
        <f ca="1">IF(T_MP3s[[#This Row],[ID]]=$G$3,RAND(),"")</f>
        <v/>
      </c>
    </row>
    <row r="561" spans="9:13" x14ac:dyDescent="0.25">
      <c r="I561" s="12">
        <v>136</v>
      </c>
      <c r="J561" s="13" t="s">
        <v>378</v>
      </c>
      <c r="K561" s="12" t="s">
        <v>374</v>
      </c>
      <c r="L561" s="13" t="s">
        <v>529</v>
      </c>
      <c r="M561" s="12" t="str">
        <f ca="1">IF(T_MP3s[[#This Row],[ID]]=$G$3,RAND(),"")</f>
        <v/>
      </c>
    </row>
    <row r="562" spans="9:13" x14ac:dyDescent="0.25">
      <c r="I562" s="12">
        <v>136</v>
      </c>
      <c r="J562" s="13" t="s">
        <v>373</v>
      </c>
      <c r="K562" s="12" t="s">
        <v>374</v>
      </c>
      <c r="L562" s="13" t="s">
        <v>447</v>
      </c>
      <c r="M562" s="12" t="str">
        <f ca="1">IF(T_MP3s[[#This Row],[ID]]=$G$3,RAND(),"")</f>
        <v/>
      </c>
    </row>
    <row r="563" spans="9:13" x14ac:dyDescent="0.25">
      <c r="I563" s="12">
        <v>136</v>
      </c>
      <c r="J563" s="13" t="s">
        <v>392</v>
      </c>
      <c r="K563" s="12" t="s">
        <v>374</v>
      </c>
      <c r="L563" s="13" t="s">
        <v>747</v>
      </c>
      <c r="M563" s="12" t="str">
        <f ca="1">IF(T_MP3s[[#This Row],[ID]]=$G$3,RAND(),"")</f>
        <v/>
      </c>
    </row>
    <row r="564" spans="9:13" x14ac:dyDescent="0.25">
      <c r="I564" s="12">
        <v>136</v>
      </c>
      <c r="J564" s="13" t="s">
        <v>376</v>
      </c>
      <c r="K564" s="12" t="s">
        <v>374</v>
      </c>
      <c r="L564" s="13" t="s">
        <v>600</v>
      </c>
      <c r="M564" s="12" t="str">
        <f ca="1">IF(T_MP3s[[#This Row],[ID]]=$G$3,RAND(),"")</f>
        <v/>
      </c>
    </row>
    <row r="565" spans="9:13" x14ac:dyDescent="0.25">
      <c r="I565" s="12">
        <v>137</v>
      </c>
      <c r="J565" s="13" t="s">
        <v>378</v>
      </c>
      <c r="K565" s="12" t="s">
        <v>374</v>
      </c>
      <c r="L565" s="13" t="s">
        <v>994</v>
      </c>
      <c r="M565" s="12" t="str">
        <f ca="1">IF(T_MP3s[[#This Row],[ID]]=$G$3,RAND(),"")</f>
        <v/>
      </c>
    </row>
    <row r="566" spans="9:13" x14ac:dyDescent="0.25">
      <c r="I566" s="12">
        <v>137</v>
      </c>
      <c r="J566" s="13" t="s">
        <v>373</v>
      </c>
      <c r="K566" s="12" t="s">
        <v>374</v>
      </c>
      <c r="L566" s="13" t="s">
        <v>758</v>
      </c>
      <c r="M566" s="12" t="str">
        <f ca="1">IF(T_MP3s[[#This Row],[ID]]=$G$3,RAND(),"")</f>
        <v/>
      </c>
    </row>
    <row r="567" spans="9:13" x14ac:dyDescent="0.25">
      <c r="I567" s="12">
        <v>137</v>
      </c>
      <c r="J567" s="13" t="s">
        <v>392</v>
      </c>
      <c r="K567" s="12" t="s">
        <v>374</v>
      </c>
      <c r="L567" s="13" t="s">
        <v>444</v>
      </c>
      <c r="M567" s="12" t="str">
        <f ca="1">IF(T_MP3s[[#This Row],[ID]]=$G$3,RAND(),"")</f>
        <v/>
      </c>
    </row>
    <row r="568" spans="9:13" x14ac:dyDescent="0.25">
      <c r="I568" s="12">
        <v>137</v>
      </c>
      <c r="J568" s="13" t="s">
        <v>376</v>
      </c>
      <c r="K568" s="12" t="s">
        <v>374</v>
      </c>
      <c r="L568" s="13" t="s">
        <v>700</v>
      </c>
      <c r="M568" s="12" t="str">
        <f ca="1">IF(T_MP3s[[#This Row],[ID]]=$G$3,RAND(),"")</f>
        <v/>
      </c>
    </row>
    <row r="569" spans="9:13" x14ac:dyDescent="0.25">
      <c r="I569" s="12">
        <v>138</v>
      </c>
      <c r="J569" s="13" t="s">
        <v>378</v>
      </c>
      <c r="K569" s="12" t="s">
        <v>374</v>
      </c>
      <c r="L569" s="13" t="s">
        <v>965</v>
      </c>
      <c r="M569" s="12" t="str">
        <f ca="1">IF(T_MP3s[[#This Row],[ID]]=$G$3,RAND(),"")</f>
        <v/>
      </c>
    </row>
    <row r="570" spans="9:13" x14ac:dyDescent="0.25">
      <c r="I570" s="12">
        <v>138</v>
      </c>
      <c r="J570" s="13" t="s">
        <v>373</v>
      </c>
      <c r="K570" s="12" t="s">
        <v>374</v>
      </c>
      <c r="L570" s="13" t="s">
        <v>727</v>
      </c>
      <c r="M570" s="12" t="str">
        <f ca="1">IF(T_MP3s[[#This Row],[ID]]=$G$3,RAND(),"")</f>
        <v/>
      </c>
    </row>
    <row r="571" spans="9:13" x14ac:dyDescent="0.25">
      <c r="I571" s="12">
        <v>138</v>
      </c>
      <c r="J571" s="13" t="s">
        <v>392</v>
      </c>
      <c r="K571" s="12" t="s">
        <v>374</v>
      </c>
      <c r="L571" s="13" t="s">
        <v>941</v>
      </c>
      <c r="M571" s="12" t="str">
        <f ca="1">IF(T_MP3s[[#This Row],[ID]]=$G$3,RAND(),"")</f>
        <v/>
      </c>
    </row>
    <row r="572" spans="9:13" x14ac:dyDescent="0.25">
      <c r="I572" s="12">
        <v>138</v>
      </c>
      <c r="J572" s="13" t="s">
        <v>376</v>
      </c>
      <c r="K572" s="12" t="s">
        <v>374</v>
      </c>
      <c r="L572" s="13" t="s">
        <v>668</v>
      </c>
      <c r="M572" s="12" t="str">
        <f ca="1">IF(T_MP3s[[#This Row],[ID]]=$G$3,RAND(),"")</f>
        <v/>
      </c>
    </row>
    <row r="573" spans="9:13" x14ac:dyDescent="0.25">
      <c r="I573" s="12">
        <v>139</v>
      </c>
      <c r="J573" s="13" t="s">
        <v>378</v>
      </c>
      <c r="K573" s="12" t="s">
        <v>374</v>
      </c>
      <c r="L573" s="13" t="s">
        <v>802</v>
      </c>
      <c r="M573" s="12" t="str">
        <f ca="1">IF(T_MP3s[[#This Row],[ID]]=$G$3,RAND(),"")</f>
        <v/>
      </c>
    </row>
    <row r="574" spans="9:13" x14ac:dyDescent="0.25">
      <c r="I574" s="12">
        <v>139</v>
      </c>
      <c r="J574" s="13" t="s">
        <v>373</v>
      </c>
      <c r="K574" s="12" t="s">
        <v>374</v>
      </c>
      <c r="L574" s="13" t="s">
        <v>430</v>
      </c>
      <c r="M574" s="12" t="str">
        <f ca="1">IF(T_MP3s[[#This Row],[ID]]=$G$3,RAND(),"")</f>
        <v/>
      </c>
    </row>
    <row r="575" spans="9:13" x14ac:dyDescent="0.25">
      <c r="I575" s="12">
        <v>139</v>
      </c>
      <c r="J575" s="13" t="s">
        <v>392</v>
      </c>
      <c r="K575" s="12" t="s">
        <v>374</v>
      </c>
      <c r="L575" s="13" t="s">
        <v>940</v>
      </c>
      <c r="M575" s="12" t="str">
        <f ca="1">IF(T_MP3s[[#This Row],[ID]]=$G$3,RAND(),"")</f>
        <v/>
      </c>
    </row>
    <row r="576" spans="9:13" x14ac:dyDescent="0.25">
      <c r="I576" s="12">
        <v>139</v>
      </c>
      <c r="J576" s="13" t="s">
        <v>376</v>
      </c>
      <c r="K576" s="12" t="s">
        <v>374</v>
      </c>
      <c r="L576" s="13" t="s">
        <v>993</v>
      </c>
      <c r="M576" s="12" t="str">
        <f ca="1">IF(T_MP3s[[#This Row],[ID]]=$G$3,RAND(),"")</f>
        <v/>
      </c>
    </row>
    <row r="577" spans="9:13" x14ac:dyDescent="0.25">
      <c r="I577" s="12">
        <v>140</v>
      </c>
      <c r="J577" s="13" t="s">
        <v>378</v>
      </c>
      <c r="K577" s="12" t="s">
        <v>374</v>
      </c>
      <c r="L577" s="13" t="s">
        <v>540</v>
      </c>
      <c r="M577" s="12" t="str">
        <f ca="1">IF(T_MP3s[[#This Row],[ID]]=$G$3,RAND(),"")</f>
        <v/>
      </c>
    </row>
    <row r="578" spans="9:13" x14ac:dyDescent="0.25">
      <c r="I578" s="12">
        <v>140</v>
      </c>
      <c r="J578" s="13" t="s">
        <v>373</v>
      </c>
      <c r="K578" s="12" t="s">
        <v>374</v>
      </c>
      <c r="L578" s="13" t="s">
        <v>922</v>
      </c>
      <c r="M578" s="12" t="str">
        <f ca="1">IF(T_MP3s[[#This Row],[ID]]=$G$3,RAND(),"")</f>
        <v/>
      </c>
    </row>
    <row r="579" spans="9:13" x14ac:dyDescent="0.25">
      <c r="I579" s="12">
        <v>140</v>
      </c>
      <c r="J579" s="13" t="s">
        <v>392</v>
      </c>
      <c r="K579" s="12" t="s">
        <v>374</v>
      </c>
      <c r="L579" s="13" t="s">
        <v>795</v>
      </c>
      <c r="M579" s="12" t="str">
        <f ca="1">IF(T_MP3s[[#This Row],[ID]]=$G$3,RAND(),"")</f>
        <v/>
      </c>
    </row>
    <row r="580" spans="9:13" x14ac:dyDescent="0.25">
      <c r="I580" s="12">
        <v>140</v>
      </c>
      <c r="J580" s="13" t="s">
        <v>376</v>
      </c>
      <c r="K580" s="12" t="s">
        <v>374</v>
      </c>
      <c r="L580" s="13" t="s">
        <v>633</v>
      </c>
      <c r="M580" s="12" t="str">
        <f ca="1">IF(T_MP3s[[#This Row],[ID]]=$G$3,RAND(),"")</f>
        <v/>
      </c>
    </row>
    <row r="581" spans="9:13" x14ac:dyDescent="0.25">
      <c r="I581" s="12">
        <v>141</v>
      </c>
      <c r="J581" s="13" t="s">
        <v>378</v>
      </c>
      <c r="K581" s="12" t="s">
        <v>374</v>
      </c>
      <c r="L581" s="13" t="s">
        <v>650</v>
      </c>
      <c r="M581" s="12" t="str">
        <f ca="1">IF(T_MP3s[[#This Row],[ID]]=$G$3,RAND(),"")</f>
        <v/>
      </c>
    </row>
    <row r="582" spans="9:13" x14ac:dyDescent="0.25">
      <c r="I582" s="12">
        <v>141</v>
      </c>
      <c r="J582" s="13" t="s">
        <v>373</v>
      </c>
      <c r="K582" s="12" t="s">
        <v>374</v>
      </c>
      <c r="L582" s="13" t="s">
        <v>693</v>
      </c>
      <c r="M582" s="12" t="str">
        <f ca="1">IF(T_MP3s[[#This Row],[ID]]=$G$3,RAND(),"")</f>
        <v/>
      </c>
    </row>
    <row r="583" spans="9:13" x14ac:dyDescent="0.25">
      <c r="I583" s="12">
        <v>141</v>
      </c>
      <c r="J583" s="13" t="s">
        <v>392</v>
      </c>
      <c r="K583" s="12" t="s">
        <v>374</v>
      </c>
      <c r="L583" s="13" t="s">
        <v>428</v>
      </c>
      <c r="M583" s="12" t="str">
        <f ca="1">IF(T_MP3s[[#This Row],[ID]]=$G$3,RAND(),"")</f>
        <v/>
      </c>
    </row>
    <row r="584" spans="9:13" x14ac:dyDescent="0.25">
      <c r="I584" s="12">
        <v>141</v>
      </c>
      <c r="J584" s="13" t="s">
        <v>376</v>
      </c>
      <c r="K584" s="12" t="s">
        <v>374</v>
      </c>
      <c r="L584" s="13" t="s">
        <v>740</v>
      </c>
      <c r="M584" s="12" t="str">
        <f ca="1">IF(T_MP3s[[#This Row],[ID]]=$G$3,RAND(),"")</f>
        <v/>
      </c>
    </row>
    <row r="585" spans="9:13" x14ac:dyDescent="0.25">
      <c r="I585" s="12">
        <v>142</v>
      </c>
      <c r="J585" s="13" t="s">
        <v>378</v>
      </c>
      <c r="K585" s="12" t="s">
        <v>374</v>
      </c>
      <c r="L585" s="13" t="s">
        <v>777</v>
      </c>
      <c r="M585" s="12" t="str">
        <f ca="1">IF(T_MP3s[[#This Row],[ID]]=$G$3,RAND(),"")</f>
        <v/>
      </c>
    </row>
    <row r="586" spans="9:13" x14ac:dyDescent="0.25">
      <c r="I586" s="12">
        <v>142</v>
      </c>
      <c r="J586" s="13" t="s">
        <v>373</v>
      </c>
      <c r="K586" s="12" t="s">
        <v>374</v>
      </c>
      <c r="L586" s="13" t="s">
        <v>877</v>
      </c>
      <c r="M586" s="12" t="str">
        <f ca="1">IF(T_MP3s[[#This Row],[ID]]=$G$3,RAND(),"")</f>
        <v/>
      </c>
    </row>
    <row r="587" spans="9:13" x14ac:dyDescent="0.25">
      <c r="I587" s="12">
        <v>142</v>
      </c>
      <c r="J587" s="13" t="s">
        <v>392</v>
      </c>
      <c r="K587" s="12" t="s">
        <v>374</v>
      </c>
      <c r="L587" s="13" t="s">
        <v>953</v>
      </c>
      <c r="M587" s="12" t="str">
        <f ca="1">IF(T_MP3s[[#This Row],[ID]]=$G$3,RAND(),"")</f>
        <v/>
      </c>
    </row>
    <row r="588" spans="9:13" x14ac:dyDescent="0.25">
      <c r="I588" s="12">
        <v>142</v>
      </c>
      <c r="J588" s="13" t="s">
        <v>376</v>
      </c>
      <c r="K588" s="12" t="s">
        <v>374</v>
      </c>
      <c r="L588" s="13" t="s">
        <v>499</v>
      </c>
      <c r="M588" s="12" t="str">
        <f ca="1">IF(T_MP3s[[#This Row],[ID]]=$G$3,RAND(),"")</f>
        <v/>
      </c>
    </row>
    <row r="589" spans="9:13" x14ac:dyDescent="0.25">
      <c r="I589" s="12">
        <v>143</v>
      </c>
      <c r="J589" s="13" t="s">
        <v>378</v>
      </c>
      <c r="K589" s="12" t="s">
        <v>374</v>
      </c>
      <c r="L589" s="13" t="s">
        <v>767</v>
      </c>
      <c r="M589" s="12" t="str">
        <f ca="1">IF(T_MP3s[[#This Row],[ID]]=$G$3,RAND(),"")</f>
        <v/>
      </c>
    </row>
    <row r="590" spans="9:13" x14ac:dyDescent="0.25">
      <c r="I590" s="12">
        <v>143</v>
      </c>
      <c r="J590" s="13" t="s">
        <v>373</v>
      </c>
      <c r="K590" s="12" t="s">
        <v>374</v>
      </c>
      <c r="L590" s="13" t="s">
        <v>864</v>
      </c>
      <c r="M590" s="12" t="str">
        <f ca="1">IF(T_MP3s[[#This Row],[ID]]=$G$3,RAND(),"")</f>
        <v/>
      </c>
    </row>
    <row r="591" spans="9:13" x14ac:dyDescent="0.25">
      <c r="I591" s="12">
        <v>143</v>
      </c>
      <c r="J591" s="13" t="s">
        <v>392</v>
      </c>
      <c r="K591" s="12" t="s">
        <v>374</v>
      </c>
      <c r="L591" s="13" t="s">
        <v>766</v>
      </c>
      <c r="M591" s="12" t="str">
        <f ca="1">IF(T_MP3s[[#This Row],[ID]]=$G$3,RAND(),"")</f>
        <v/>
      </c>
    </row>
    <row r="592" spans="9:13" x14ac:dyDescent="0.25">
      <c r="I592" s="12">
        <v>143</v>
      </c>
      <c r="J592" s="13" t="s">
        <v>376</v>
      </c>
      <c r="K592" s="12" t="s">
        <v>374</v>
      </c>
      <c r="L592" s="13" t="s">
        <v>677</v>
      </c>
      <c r="M592" s="12" t="str">
        <f ca="1">IF(T_MP3s[[#This Row],[ID]]=$G$3,RAND(),"")</f>
        <v/>
      </c>
    </row>
    <row r="593" spans="9:13" x14ac:dyDescent="0.25">
      <c r="I593" s="12">
        <v>144</v>
      </c>
      <c r="J593" s="13" t="s">
        <v>378</v>
      </c>
      <c r="K593" s="12" t="s">
        <v>374</v>
      </c>
      <c r="L593" s="13" t="s">
        <v>656</v>
      </c>
      <c r="M593" s="12" t="str">
        <f ca="1">IF(T_MP3s[[#This Row],[ID]]=$G$3,RAND(),"")</f>
        <v/>
      </c>
    </row>
    <row r="594" spans="9:13" x14ac:dyDescent="0.25">
      <c r="I594" s="12">
        <v>144</v>
      </c>
      <c r="J594" s="13" t="s">
        <v>373</v>
      </c>
      <c r="K594" s="12" t="s">
        <v>374</v>
      </c>
      <c r="L594" s="13" t="s">
        <v>995</v>
      </c>
      <c r="M594" s="12" t="str">
        <f ca="1">IF(T_MP3s[[#This Row],[ID]]=$G$3,RAND(),"")</f>
        <v/>
      </c>
    </row>
    <row r="595" spans="9:13" x14ac:dyDescent="0.25">
      <c r="I595" s="12">
        <v>144</v>
      </c>
      <c r="J595" s="13" t="s">
        <v>392</v>
      </c>
      <c r="K595" s="12" t="s">
        <v>374</v>
      </c>
      <c r="L595" s="13" t="s">
        <v>504</v>
      </c>
      <c r="M595" s="12" t="str">
        <f ca="1">IF(T_MP3s[[#This Row],[ID]]=$G$3,RAND(),"")</f>
        <v/>
      </c>
    </row>
    <row r="596" spans="9:13" x14ac:dyDescent="0.25">
      <c r="I596" s="12">
        <v>144</v>
      </c>
      <c r="J596" s="13" t="s">
        <v>376</v>
      </c>
      <c r="K596" s="12" t="s">
        <v>374</v>
      </c>
      <c r="L596" s="13" t="s">
        <v>925</v>
      </c>
      <c r="M596" s="12" t="str">
        <f ca="1">IF(T_MP3s[[#This Row],[ID]]=$G$3,RAND(),"")</f>
        <v/>
      </c>
    </row>
    <row r="597" spans="9:13" x14ac:dyDescent="0.25">
      <c r="I597" s="12">
        <v>145</v>
      </c>
      <c r="J597" s="13" t="s">
        <v>378</v>
      </c>
      <c r="K597" s="12" t="s">
        <v>374</v>
      </c>
      <c r="L597" s="13" t="s">
        <v>744</v>
      </c>
      <c r="M597" s="12" t="str">
        <f ca="1">IF(T_MP3s[[#This Row],[ID]]=$G$3,RAND(),"")</f>
        <v/>
      </c>
    </row>
    <row r="598" spans="9:13" x14ac:dyDescent="0.25">
      <c r="I598" s="12">
        <v>145</v>
      </c>
      <c r="J598" s="13" t="s">
        <v>373</v>
      </c>
      <c r="K598" s="12" t="s">
        <v>374</v>
      </c>
      <c r="L598" s="13" t="s">
        <v>823</v>
      </c>
      <c r="M598" s="12" t="str">
        <f ca="1">IF(T_MP3s[[#This Row],[ID]]=$G$3,RAND(),"")</f>
        <v/>
      </c>
    </row>
    <row r="599" spans="9:13" x14ac:dyDescent="0.25">
      <c r="I599" s="12">
        <v>145</v>
      </c>
      <c r="J599" s="13" t="s">
        <v>392</v>
      </c>
      <c r="K599" s="12" t="s">
        <v>374</v>
      </c>
      <c r="L599" s="13" t="s">
        <v>551</v>
      </c>
      <c r="M599" s="12" t="str">
        <f ca="1">IF(T_MP3s[[#This Row],[ID]]=$G$3,RAND(),"")</f>
        <v/>
      </c>
    </row>
    <row r="600" spans="9:13" x14ac:dyDescent="0.25">
      <c r="I600" s="12">
        <v>145</v>
      </c>
      <c r="J600" s="13" t="s">
        <v>376</v>
      </c>
      <c r="K600" s="12" t="s">
        <v>374</v>
      </c>
      <c r="L600" s="13" t="s">
        <v>665</v>
      </c>
      <c r="M600" s="12" t="str">
        <f ca="1">IF(T_MP3s[[#This Row],[ID]]=$G$3,RAND(),"")</f>
        <v/>
      </c>
    </row>
    <row r="601" spans="9:13" x14ac:dyDescent="0.25">
      <c r="I601" s="12">
        <v>145</v>
      </c>
      <c r="J601" s="13" t="s">
        <v>376</v>
      </c>
      <c r="K601" s="12" t="s">
        <v>374</v>
      </c>
      <c r="L601" s="13" t="s">
        <v>824</v>
      </c>
      <c r="M601" s="12" t="str">
        <f ca="1">IF(T_MP3s[[#This Row],[ID]]=$G$3,RAND(),"")</f>
        <v/>
      </c>
    </row>
    <row r="602" spans="9:13" x14ac:dyDescent="0.25">
      <c r="I602" s="12">
        <v>146</v>
      </c>
      <c r="J602" s="13" t="s">
        <v>373</v>
      </c>
      <c r="K602" s="12" t="s">
        <v>374</v>
      </c>
      <c r="L602" s="13" t="s">
        <v>382</v>
      </c>
      <c r="M602" s="12" t="str">
        <f ca="1">IF(T_MP3s[[#This Row],[ID]]=$G$3,RAND(),"")</f>
        <v/>
      </c>
    </row>
    <row r="603" spans="9:13" x14ac:dyDescent="0.25">
      <c r="I603" s="12">
        <v>146</v>
      </c>
      <c r="J603" s="13" t="s">
        <v>392</v>
      </c>
      <c r="K603" s="12" t="s">
        <v>374</v>
      </c>
      <c r="L603" s="13" t="s">
        <v>425</v>
      </c>
      <c r="M603" s="12" t="str">
        <f ca="1">IF(T_MP3s[[#This Row],[ID]]=$G$3,RAND(),"")</f>
        <v/>
      </c>
    </row>
    <row r="604" spans="9:13" x14ac:dyDescent="0.25">
      <c r="I604" s="12">
        <v>146</v>
      </c>
      <c r="J604" s="13" t="s">
        <v>376</v>
      </c>
      <c r="K604" s="12" t="s">
        <v>374</v>
      </c>
      <c r="L604" s="13" t="s">
        <v>480</v>
      </c>
      <c r="M604" s="12" t="str">
        <f ca="1">IF(T_MP3s[[#This Row],[ID]]=$G$3,RAND(),"")</f>
        <v/>
      </c>
    </row>
    <row r="605" spans="9:13" x14ac:dyDescent="0.25">
      <c r="I605" s="12">
        <v>147</v>
      </c>
      <c r="J605" s="13" t="s">
        <v>373</v>
      </c>
      <c r="K605" s="12" t="s">
        <v>374</v>
      </c>
      <c r="L605" s="13" t="s">
        <v>544</v>
      </c>
      <c r="M605" s="12" t="str">
        <f ca="1">IF(T_MP3s[[#This Row],[ID]]=$G$3,RAND(),"")</f>
        <v/>
      </c>
    </row>
    <row r="606" spans="9:13" x14ac:dyDescent="0.25">
      <c r="I606" s="12">
        <v>147</v>
      </c>
      <c r="J606" s="13" t="s">
        <v>392</v>
      </c>
      <c r="K606" s="12" t="s">
        <v>374</v>
      </c>
      <c r="L606" s="13" t="s">
        <v>522</v>
      </c>
      <c r="M606" s="12" t="str">
        <f ca="1">IF(T_MP3s[[#This Row],[ID]]=$G$3,RAND(),"")</f>
        <v/>
      </c>
    </row>
    <row r="607" spans="9:13" x14ac:dyDescent="0.25">
      <c r="I607" s="12">
        <v>147</v>
      </c>
      <c r="J607" s="13" t="s">
        <v>376</v>
      </c>
      <c r="K607" s="12" t="s">
        <v>374</v>
      </c>
      <c r="L607" s="13" t="s">
        <v>594</v>
      </c>
      <c r="M607" s="12" t="str">
        <f ca="1">IF(T_MP3s[[#This Row],[ID]]=$G$3,RAND(),"")</f>
        <v/>
      </c>
    </row>
    <row r="608" spans="9:13" x14ac:dyDescent="0.25">
      <c r="I608" s="12">
        <v>148</v>
      </c>
      <c r="J608" s="13" t="s">
        <v>376</v>
      </c>
      <c r="K608" s="12" t="s">
        <v>1027</v>
      </c>
      <c r="L608" s="13" t="s">
        <v>546</v>
      </c>
      <c r="M608" s="12" t="str">
        <f ca="1">IF(T_MP3s[[#This Row],[ID]]=$G$3,RAND(),"")</f>
        <v/>
      </c>
    </row>
    <row r="609" spans="9:13" x14ac:dyDescent="0.25">
      <c r="I609" s="12">
        <v>149</v>
      </c>
      <c r="J609" s="13" t="s">
        <v>376</v>
      </c>
      <c r="K609" s="12" t="s">
        <v>1028</v>
      </c>
      <c r="L609" s="13" t="s">
        <v>683</v>
      </c>
      <c r="M609" s="12" t="str">
        <f ca="1">IF(T_MP3s[[#This Row],[ID]]=$G$3,RAND(),"")</f>
        <v/>
      </c>
    </row>
    <row r="610" spans="9:13" x14ac:dyDescent="0.25">
      <c r="I610" s="12">
        <v>150</v>
      </c>
      <c r="J610" s="13" t="s">
        <v>376</v>
      </c>
      <c r="K610" s="12" t="s">
        <v>1042</v>
      </c>
      <c r="L610" s="13" t="s">
        <v>518</v>
      </c>
      <c r="M610" s="12" t="str">
        <f ca="1">IF(T_MP3s[[#This Row],[ID]]=$G$3,RAND(),"")</f>
        <v/>
      </c>
    </row>
    <row r="611" spans="9:13" x14ac:dyDescent="0.25">
      <c r="I611" s="12">
        <v>153</v>
      </c>
      <c r="J611" s="13" t="s">
        <v>376</v>
      </c>
      <c r="K611" s="12" t="s">
        <v>374</v>
      </c>
      <c r="L611" s="13" t="s">
        <v>503</v>
      </c>
      <c r="M611" s="12" t="str">
        <f ca="1">IF(T_MP3s[[#This Row],[ID]]=$G$3,RAND(),"")</f>
        <v/>
      </c>
    </row>
    <row r="612" spans="9:13" x14ac:dyDescent="0.25">
      <c r="I612" s="12">
        <v>155</v>
      </c>
      <c r="J612" s="13" t="s">
        <v>378</v>
      </c>
      <c r="K612" s="12" t="s">
        <v>1039</v>
      </c>
      <c r="L612" s="13" t="s">
        <v>695</v>
      </c>
      <c r="M612" s="12" t="str">
        <f ca="1">IF(T_MP3s[[#This Row],[ID]]=$G$3,RAND(),"")</f>
        <v/>
      </c>
    </row>
    <row r="613" spans="9:13" x14ac:dyDescent="0.25">
      <c r="I613" s="12">
        <v>155</v>
      </c>
      <c r="J613" s="13" t="s">
        <v>392</v>
      </c>
      <c r="K613" s="12" t="s">
        <v>1039</v>
      </c>
      <c r="L613" s="13" t="s">
        <v>748</v>
      </c>
      <c r="M613" s="12" t="str">
        <f ca="1">IF(T_MP3s[[#This Row],[ID]]=$G$3,RAND(),"")</f>
        <v/>
      </c>
    </row>
    <row r="614" spans="9:13" x14ac:dyDescent="0.25">
      <c r="I614" s="12">
        <v>155</v>
      </c>
      <c r="J614" s="13" t="s">
        <v>376</v>
      </c>
      <c r="K614" s="12" t="s">
        <v>1039</v>
      </c>
      <c r="L614" s="13" t="s">
        <v>563</v>
      </c>
      <c r="M614" s="12" t="str">
        <f ca="1">IF(T_MP3s[[#This Row],[ID]]=$G$3,RAND(),"")</f>
        <v/>
      </c>
    </row>
    <row r="615" spans="9:13" x14ac:dyDescent="0.25">
      <c r="I615" s="12">
        <v>157</v>
      </c>
      <c r="J615" s="13" t="s">
        <v>378</v>
      </c>
      <c r="K615" s="12" t="s">
        <v>1043</v>
      </c>
      <c r="L615" s="13" t="s">
        <v>857</v>
      </c>
      <c r="M615" s="12" t="str">
        <f ca="1">IF(T_MP3s[[#This Row],[ID]]=$G$3,RAND(),"")</f>
        <v/>
      </c>
    </row>
    <row r="616" spans="9:13" x14ac:dyDescent="0.25">
      <c r="I616" s="12">
        <v>157</v>
      </c>
      <c r="J616" s="13" t="s">
        <v>373</v>
      </c>
      <c r="K616" s="12" t="s">
        <v>1043</v>
      </c>
      <c r="L616" s="13" t="s">
        <v>731</v>
      </c>
      <c r="M616" s="12" t="str">
        <f ca="1">IF(T_MP3s[[#This Row],[ID]]=$G$3,RAND(),"")</f>
        <v/>
      </c>
    </row>
    <row r="617" spans="9:13" x14ac:dyDescent="0.25">
      <c r="I617" s="12">
        <v>157</v>
      </c>
      <c r="J617" s="13" t="s">
        <v>392</v>
      </c>
      <c r="K617" s="12" t="s">
        <v>1043</v>
      </c>
      <c r="L617" s="13" t="s">
        <v>533</v>
      </c>
      <c r="M617" s="12" t="str">
        <f ca="1">IF(T_MP3s[[#This Row],[ID]]=$G$3,RAND(),"")</f>
        <v/>
      </c>
    </row>
    <row r="618" spans="9:13" x14ac:dyDescent="0.25">
      <c r="I618" s="12">
        <v>157</v>
      </c>
      <c r="J618" s="13" t="s">
        <v>376</v>
      </c>
      <c r="K618" s="12" t="s">
        <v>1043</v>
      </c>
      <c r="L618" s="13" t="s">
        <v>761</v>
      </c>
      <c r="M618" s="12" t="str">
        <f ca="1">IF(T_MP3s[[#This Row],[ID]]=$G$3,RAND(),"")</f>
        <v/>
      </c>
    </row>
    <row r="619" spans="9:13" x14ac:dyDescent="0.25">
      <c r="I619" s="12">
        <v>159</v>
      </c>
      <c r="J619" s="13" t="s">
        <v>378</v>
      </c>
      <c r="K619" s="12" t="s">
        <v>1046</v>
      </c>
      <c r="L619" s="13" t="s">
        <v>505</v>
      </c>
      <c r="M619" s="12" t="str">
        <f ca="1">IF(T_MP3s[[#This Row],[ID]]=$G$3,RAND(),"")</f>
        <v/>
      </c>
    </row>
    <row r="620" spans="9:13" x14ac:dyDescent="0.25">
      <c r="I620" s="12">
        <v>159</v>
      </c>
      <c r="J620" s="13" t="s">
        <v>392</v>
      </c>
      <c r="K620" s="12" t="s">
        <v>1046</v>
      </c>
      <c r="L620" s="13" t="s">
        <v>827</v>
      </c>
      <c r="M620" s="12" t="str">
        <f ca="1">IF(T_MP3s[[#This Row],[ID]]=$G$3,RAND(),"")</f>
        <v/>
      </c>
    </row>
    <row r="621" spans="9:13" x14ac:dyDescent="0.25">
      <c r="I621" s="12">
        <v>159</v>
      </c>
      <c r="J621" s="13" t="s">
        <v>376</v>
      </c>
      <c r="K621" s="12" t="s">
        <v>1046</v>
      </c>
      <c r="L621" s="13" t="s">
        <v>787</v>
      </c>
      <c r="M621" s="12" t="str">
        <f ca="1">IF(T_MP3s[[#This Row],[ID]]=$G$3,RAND(),"")</f>
        <v/>
      </c>
    </row>
    <row r="622" spans="9:13" x14ac:dyDescent="0.25">
      <c r="I622" s="12">
        <v>161</v>
      </c>
      <c r="J622" s="13" t="s">
        <v>378</v>
      </c>
      <c r="K622" s="12" t="s">
        <v>1044</v>
      </c>
      <c r="L622" s="13" t="s">
        <v>862</v>
      </c>
      <c r="M622" s="12" t="str">
        <f ca="1">IF(T_MP3s[[#This Row],[ID]]=$G$3,RAND(),"")</f>
        <v/>
      </c>
    </row>
    <row r="623" spans="9:13" x14ac:dyDescent="0.25">
      <c r="I623" s="12">
        <v>161</v>
      </c>
      <c r="J623" s="13" t="s">
        <v>373</v>
      </c>
      <c r="K623" s="12" t="s">
        <v>1044</v>
      </c>
      <c r="L623" s="13" t="s">
        <v>945</v>
      </c>
      <c r="M623" s="12" t="str">
        <f ca="1">IF(T_MP3s[[#This Row],[ID]]=$G$3,RAND(),"")</f>
        <v/>
      </c>
    </row>
    <row r="624" spans="9:13" x14ac:dyDescent="0.25">
      <c r="I624" s="12">
        <v>161</v>
      </c>
      <c r="J624" s="13" t="s">
        <v>392</v>
      </c>
      <c r="K624" s="12" t="s">
        <v>1044</v>
      </c>
      <c r="L624" s="13" t="s">
        <v>719</v>
      </c>
      <c r="M624" s="12" t="str">
        <f ca="1">IF(T_MP3s[[#This Row],[ID]]=$G$3,RAND(),"")</f>
        <v/>
      </c>
    </row>
    <row r="625" spans="9:13" x14ac:dyDescent="0.25">
      <c r="I625" s="12">
        <v>161</v>
      </c>
      <c r="J625" s="13" t="s">
        <v>376</v>
      </c>
      <c r="K625" s="12" t="s">
        <v>1044</v>
      </c>
      <c r="L625" s="13" t="s">
        <v>853</v>
      </c>
      <c r="M625" s="12" t="str">
        <f ca="1">IF(T_MP3s[[#This Row],[ID]]=$G$3,RAND(),"")</f>
        <v/>
      </c>
    </row>
    <row r="626" spans="9:13" x14ac:dyDescent="0.25">
      <c r="I626" s="12">
        <v>163</v>
      </c>
      <c r="J626" s="13" t="s">
        <v>378</v>
      </c>
      <c r="K626" s="12" t="s">
        <v>1041</v>
      </c>
      <c r="L626" s="13" t="s">
        <v>403</v>
      </c>
      <c r="M626" s="12" t="str">
        <f ca="1">IF(T_MP3s[[#This Row],[ID]]=$G$3,RAND(),"")</f>
        <v/>
      </c>
    </row>
    <row r="627" spans="9:13" x14ac:dyDescent="0.25">
      <c r="I627" s="12">
        <v>163</v>
      </c>
      <c r="J627" s="13" t="s">
        <v>392</v>
      </c>
      <c r="K627" s="12" t="s">
        <v>1041</v>
      </c>
      <c r="L627" s="13" t="s">
        <v>863</v>
      </c>
      <c r="M627" s="12" t="str">
        <f ca="1">IF(T_MP3s[[#This Row],[ID]]=$G$3,RAND(),"")</f>
        <v/>
      </c>
    </row>
    <row r="628" spans="9:13" x14ac:dyDescent="0.25">
      <c r="I628" s="12">
        <v>163</v>
      </c>
      <c r="J628" s="13" t="s">
        <v>376</v>
      </c>
      <c r="K628" s="12" t="s">
        <v>1041</v>
      </c>
      <c r="L628" s="13" t="s">
        <v>460</v>
      </c>
      <c r="M628" s="12" t="str">
        <f ca="1">IF(T_MP3s[[#This Row],[ID]]=$G$3,RAND(),"")</f>
        <v/>
      </c>
    </row>
    <row r="629" spans="9:13" x14ac:dyDescent="0.25">
      <c r="I629" s="12">
        <v>165</v>
      </c>
      <c r="J629" s="13" t="s">
        <v>378</v>
      </c>
      <c r="K629" s="12" t="s">
        <v>1038</v>
      </c>
      <c r="L629" s="13" t="s">
        <v>793</v>
      </c>
      <c r="M629" s="12" t="str">
        <f ca="1">IF(T_MP3s[[#This Row],[ID]]=$G$3,RAND(),"")</f>
        <v/>
      </c>
    </row>
    <row r="630" spans="9:13" x14ac:dyDescent="0.25">
      <c r="I630" s="12">
        <v>165</v>
      </c>
      <c r="J630" s="13" t="s">
        <v>392</v>
      </c>
      <c r="K630" s="12" t="s">
        <v>1038</v>
      </c>
      <c r="L630" s="13" t="s">
        <v>809</v>
      </c>
      <c r="M630" s="12" t="str">
        <f ca="1">IF(T_MP3s[[#This Row],[ID]]=$G$3,RAND(),"")</f>
        <v/>
      </c>
    </row>
    <row r="631" spans="9:13" x14ac:dyDescent="0.25">
      <c r="I631" s="12">
        <v>165</v>
      </c>
      <c r="J631" s="13" t="s">
        <v>376</v>
      </c>
      <c r="K631" s="12" t="s">
        <v>1038</v>
      </c>
      <c r="L631" s="13" t="s">
        <v>495</v>
      </c>
      <c r="M631" s="12" t="str">
        <f ca="1">IF(T_MP3s[[#This Row],[ID]]=$G$3,RAND(),"")</f>
        <v/>
      </c>
    </row>
    <row r="632" spans="9:13" x14ac:dyDescent="0.25">
      <c r="I632" s="12">
        <v>169</v>
      </c>
      <c r="J632" s="13" t="s">
        <v>378</v>
      </c>
      <c r="K632" s="12" t="s">
        <v>1037</v>
      </c>
      <c r="L632" s="13" t="s">
        <v>493</v>
      </c>
      <c r="M632" s="12" t="str">
        <f ca="1">IF(T_MP3s[[#This Row],[ID]]=$G$3,RAND(),"")</f>
        <v/>
      </c>
    </row>
    <row r="633" spans="9:13" x14ac:dyDescent="0.25">
      <c r="I633" s="12">
        <v>169</v>
      </c>
      <c r="J633" s="13" t="s">
        <v>392</v>
      </c>
      <c r="K633" s="12" t="s">
        <v>1037</v>
      </c>
      <c r="L633" s="13" t="s">
        <v>834</v>
      </c>
      <c r="M633" s="12" t="str">
        <f ca="1">IF(T_MP3s[[#This Row],[ID]]=$G$3,RAND(),"")</f>
        <v/>
      </c>
    </row>
    <row r="634" spans="9:13" x14ac:dyDescent="0.25">
      <c r="I634" s="12">
        <v>169</v>
      </c>
      <c r="J634" s="13" t="s">
        <v>376</v>
      </c>
      <c r="K634" s="12" t="s">
        <v>1037</v>
      </c>
      <c r="L634" s="13" t="s">
        <v>670</v>
      </c>
      <c r="M634" s="12" t="str">
        <f ca="1">IF(T_MP3s[[#This Row],[ID]]=$G$3,RAND(),"")</f>
        <v/>
      </c>
    </row>
    <row r="635" spans="9:13" x14ac:dyDescent="0.25">
      <c r="I635" s="12">
        <v>171</v>
      </c>
      <c r="J635" s="13" t="s">
        <v>378</v>
      </c>
      <c r="K635" s="12" t="s">
        <v>1035</v>
      </c>
      <c r="L635" s="13" t="s">
        <v>734</v>
      </c>
      <c r="M635" s="12" t="str">
        <f ca="1">IF(T_MP3s[[#This Row],[ID]]=$G$3,RAND(),"")</f>
        <v/>
      </c>
    </row>
    <row r="636" spans="9:13" x14ac:dyDescent="0.25">
      <c r="I636" s="12">
        <v>171</v>
      </c>
      <c r="J636" s="13" t="s">
        <v>392</v>
      </c>
      <c r="K636" s="12" t="s">
        <v>1035</v>
      </c>
      <c r="L636" s="13" t="s">
        <v>584</v>
      </c>
      <c r="M636" s="12" t="str">
        <f ca="1">IF(T_MP3s[[#This Row],[ID]]=$G$3,RAND(),"")</f>
        <v/>
      </c>
    </row>
    <row r="637" spans="9:13" x14ac:dyDescent="0.25">
      <c r="I637" s="12">
        <v>171</v>
      </c>
      <c r="J637" s="13" t="s">
        <v>376</v>
      </c>
      <c r="K637" s="12" t="s">
        <v>1035</v>
      </c>
      <c r="L637" s="13" t="s">
        <v>722</v>
      </c>
      <c r="M637" s="12" t="str">
        <f ca="1">IF(T_MP3s[[#This Row],[ID]]=$G$3,RAND(),"")</f>
        <v/>
      </c>
    </row>
    <row r="638" spans="9:13" x14ac:dyDescent="0.25">
      <c r="I638" s="12">
        <v>173</v>
      </c>
      <c r="J638" s="13" t="s">
        <v>378</v>
      </c>
      <c r="K638" s="12" t="s">
        <v>1036</v>
      </c>
      <c r="L638" s="13" t="s">
        <v>759</v>
      </c>
      <c r="M638" s="12" t="str">
        <f ca="1">IF(T_MP3s[[#This Row],[ID]]=$G$3,RAND(),"")</f>
        <v/>
      </c>
    </row>
    <row r="639" spans="9:13" x14ac:dyDescent="0.25">
      <c r="I639" s="12">
        <v>173</v>
      </c>
      <c r="J639" s="13" t="s">
        <v>373</v>
      </c>
      <c r="K639" s="12" t="s">
        <v>1036</v>
      </c>
      <c r="L639" s="13" t="s">
        <v>874</v>
      </c>
      <c r="M639" s="12" t="str">
        <f ca="1">IF(T_MP3s[[#This Row],[ID]]=$G$3,RAND(),"")</f>
        <v/>
      </c>
    </row>
    <row r="640" spans="9:13" x14ac:dyDescent="0.25">
      <c r="I640" s="12">
        <v>173</v>
      </c>
      <c r="J640" s="13" t="s">
        <v>376</v>
      </c>
      <c r="K640" s="12" t="s">
        <v>1036</v>
      </c>
      <c r="L640" s="13" t="s">
        <v>854</v>
      </c>
      <c r="M640" s="12" t="str">
        <f ca="1">IF(T_MP3s[[#This Row],[ID]]=$G$3,RAND(),"")</f>
        <v/>
      </c>
    </row>
    <row r="641" spans="9:13" x14ac:dyDescent="0.25">
      <c r="I641" s="12">
        <v>175</v>
      </c>
      <c r="J641" s="13" t="s">
        <v>373</v>
      </c>
      <c r="K641" s="12" t="s">
        <v>1069</v>
      </c>
      <c r="L641" s="13" t="s">
        <v>810</v>
      </c>
      <c r="M641" s="12" t="str">
        <f ca="1">IF(T_MP3s[[#This Row],[ID]]=$G$3,RAND(),"")</f>
        <v/>
      </c>
    </row>
    <row r="642" spans="9:13" x14ac:dyDescent="0.25">
      <c r="I642" s="12">
        <v>175</v>
      </c>
      <c r="J642" s="13" t="s">
        <v>392</v>
      </c>
      <c r="K642" s="12" t="s">
        <v>1069</v>
      </c>
      <c r="L642" s="13" t="s">
        <v>591</v>
      </c>
      <c r="M642" s="12" t="str">
        <f ca="1">IF(T_MP3s[[#This Row],[ID]]=$G$3,RAND(),"")</f>
        <v/>
      </c>
    </row>
    <row r="643" spans="9:13" x14ac:dyDescent="0.25">
      <c r="I643" s="12">
        <v>176</v>
      </c>
      <c r="J643" s="13" t="s">
        <v>392</v>
      </c>
      <c r="K643" s="12" t="s">
        <v>1068</v>
      </c>
      <c r="L643" s="13" t="s">
        <v>999</v>
      </c>
      <c r="M643" s="12" t="str">
        <f ca="1">IF(T_MP3s[[#This Row],[ID]]=$G$3,RAND(),"")</f>
        <v/>
      </c>
    </row>
    <row r="644" spans="9:13" x14ac:dyDescent="0.25">
      <c r="I644" s="12">
        <v>177</v>
      </c>
      <c r="J644" s="13" t="s">
        <v>373</v>
      </c>
      <c r="K644" s="12" t="s">
        <v>1070</v>
      </c>
      <c r="L644" s="13" t="s">
        <v>649</v>
      </c>
      <c r="M644" s="12" t="str">
        <f ca="1">IF(T_MP3s[[#This Row],[ID]]=$G$3,RAND(),"")</f>
        <v/>
      </c>
    </row>
    <row r="645" spans="9:13" x14ac:dyDescent="0.25">
      <c r="I645" s="12">
        <v>177</v>
      </c>
      <c r="J645" s="13" t="s">
        <v>392</v>
      </c>
      <c r="K645" s="12" t="s">
        <v>1070</v>
      </c>
      <c r="L645" s="13" t="s">
        <v>845</v>
      </c>
      <c r="M645" s="12" t="str">
        <f ca="1">IF(T_MP3s[[#This Row],[ID]]=$G$3,RAND(),"")</f>
        <v/>
      </c>
    </row>
    <row r="646" spans="9:13" x14ac:dyDescent="0.25">
      <c r="I646" s="12">
        <v>178</v>
      </c>
      <c r="J646" s="13" t="s">
        <v>373</v>
      </c>
      <c r="K646" s="12" t="s">
        <v>1067</v>
      </c>
      <c r="L646" s="13" t="s">
        <v>868</v>
      </c>
      <c r="M646" s="12" t="str">
        <f ca="1">IF(T_MP3s[[#This Row],[ID]]=$G$3,RAND(),"")</f>
        <v/>
      </c>
    </row>
  </sheetData>
  <sortState xmlns:xlrd2="http://schemas.microsoft.com/office/spreadsheetml/2017/richdata2" ref="I1:J179">
    <sortCondition descending="1" ref="J1:J179"/>
    <sortCondition ref="I1:I179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Audio Practice</vt:lpstr>
      <vt:lpstr>Symbols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2022-01-15T14:05:53Z</dcterms:created>
  <dcterms:modified xsi:type="dcterms:W3CDTF">2022-01-15T17:42:01Z</dcterms:modified>
</cp:coreProperties>
</file>