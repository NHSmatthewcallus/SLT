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xr:revisionPtr revIDLastSave="0" documentId="13_ncr:1_{ECB2DAF7-4BC7-45B9-8B6B-C352F2BFE7C7}" xr6:coauthVersionLast="47" xr6:coauthVersionMax="47" xr10:uidLastSave="{00000000-0000-0000-0000-000000000000}"/>
  <bookViews>
    <workbookView xWindow="-120" yWindow="-120" windowWidth="20730" windowHeight="11160" xr2:uid="{8DF64EC9-49BA-4481-A14E-268E443777A0}"/>
  </bookViews>
  <sheets>
    <sheet name="IPA Nonsense Word Generator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6" l="1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F176" i="6" l="1" a="1"/>
  <c r="F176" i="6" s="1"/>
  <c r="F164" i="6" a="1"/>
  <c r="F164" i="6" s="1"/>
  <c r="F171" i="6" a="1"/>
  <c r="F171" i="6" s="1"/>
  <c r="F175" i="6" a="1"/>
  <c r="F175" i="6" s="1"/>
  <c r="F173" i="6" a="1"/>
  <c r="F173" i="6" s="1"/>
  <c r="F169" i="6" a="1"/>
  <c r="F169" i="6" s="1"/>
  <c r="F167" i="6" a="1"/>
  <c r="F167" i="6" s="1"/>
  <c r="F165" i="6" a="1"/>
  <c r="F165" i="6" s="1"/>
  <c r="F163" i="6" a="1"/>
  <c r="F163" i="6" s="1"/>
  <c r="F174" i="6" a="1"/>
  <c r="F174" i="6" s="1"/>
  <c r="F172" i="6" a="1"/>
  <c r="F172" i="6" s="1"/>
  <c r="F170" i="6" a="1"/>
  <c r="F170" i="6" s="1"/>
  <c r="F168" i="6" a="1"/>
  <c r="F168" i="6" s="1"/>
  <c r="F166" i="6" a="1"/>
  <c r="F166" i="6" s="1"/>
  <c r="R200" i="6" a="1"/>
  <c r="R200" i="6" s="1"/>
  <c r="R192" i="6" a="1"/>
  <c r="R192" i="6" s="1"/>
  <c r="R199" i="6" a="1"/>
  <c r="R199" i="6" s="1"/>
  <c r="R203" i="6" a="1"/>
  <c r="R203" i="6" s="1"/>
  <c r="R201" i="6" a="1"/>
  <c r="R201" i="6" s="1"/>
  <c r="R197" i="6" a="1"/>
  <c r="R197" i="6" s="1"/>
  <c r="R195" i="6" a="1"/>
  <c r="R195" i="6" s="1"/>
  <c r="R193" i="6" a="1"/>
  <c r="R193" i="6" s="1"/>
  <c r="R191" i="6" a="1"/>
  <c r="R191" i="6" s="1"/>
  <c r="R204" i="6" a="1"/>
  <c r="R204" i="6" s="1"/>
  <c r="R202" i="6" a="1"/>
  <c r="R202" i="6" s="1"/>
  <c r="R198" i="6" a="1"/>
  <c r="R198" i="6" s="1"/>
  <c r="R196" i="6" a="1"/>
  <c r="R196" i="6" s="1"/>
  <c r="R194" i="6" a="1"/>
  <c r="R194" i="6" s="1"/>
  <c r="R138" i="6" a="1"/>
  <c r="R138" i="6" s="1"/>
  <c r="R149" i="6" a="1"/>
  <c r="R149" i="6" s="1"/>
  <c r="R186" i="6" a="1"/>
  <c r="R186" i="6" s="1"/>
  <c r="R178" i="6" a="1"/>
  <c r="R178" i="6" s="1"/>
  <c r="R172" i="6" a="1"/>
  <c r="R172" i="6" s="1"/>
  <c r="R166" i="6" a="1"/>
  <c r="R166" i="6" s="1"/>
  <c r="R160" i="6" a="1"/>
  <c r="R160" i="6" s="1"/>
  <c r="R156" i="6" a="1"/>
  <c r="R156" i="6" s="1"/>
  <c r="R152" i="6" a="1"/>
  <c r="R152" i="6" s="1"/>
  <c r="R146" i="6" a="1"/>
  <c r="R146" i="6" s="1"/>
  <c r="R140" i="6" a="1"/>
  <c r="R140" i="6" s="1"/>
  <c r="R190" i="6" a="1"/>
  <c r="R190" i="6" s="1"/>
  <c r="R184" i="6" a="1"/>
  <c r="R184" i="6" s="1"/>
  <c r="R180" i="6" a="1"/>
  <c r="R180" i="6" s="1"/>
  <c r="R174" i="6" a="1"/>
  <c r="R174" i="6" s="1"/>
  <c r="R168" i="6" a="1"/>
  <c r="R168" i="6" s="1"/>
  <c r="R162" i="6" a="1"/>
  <c r="R162" i="6" s="1"/>
  <c r="R154" i="6" a="1"/>
  <c r="R154" i="6" s="1"/>
  <c r="R148" i="6" a="1"/>
  <c r="R148" i="6" s="1"/>
  <c r="R142" i="6" a="1"/>
  <c r="R142" i="6" s="1"/>
  <c r="R136" i="6" a="1"/>
  <c r="R136" i="6" s="1"/>
  <c r="R189" i="6" a="1"/>
  <c r="R189" i="6" s="1"/>
  <c r="R185" i="6" a="1"/>
  <c r="R185" i="6" s="1"/>
  <c r="R181" i="6" a="1"/>
  <c r="R181" i="6" s="1"/>
  <c r="R177" i="6" a="1"/>
  <c r="R177" i="6" s="1"/>
  <c r="R175" i="6" a="1"/>
  <c r="R175" i="6" s="1"/>
  <c r="R171" i="6" a="1"/>
  <c r="R171" i="6" s="1"/>
  <c r="R167" i="6" a="1"/>
  <c r="R167" i="6" s="1"/>
  <c r="R163" i="6" a="1"/>
  <c r="R163" i="6" s="1"/>
  <c r="R159" i="6" a="1"/>
  <c r="R159" i="6" s="1"/>
  <c r="R155" i="6" a="1"/>
  <c r="R155" i="6" s="1"/>
  <c r="R151" i="6" a="1"/>
  <c r="R151" i="6" s="1"/>
  <c r="R147" i="6" a="1"/>
  <c r="R147" i="6" s="1"/>
  <c r="R145" i="6" a="1"/>
  <c r="R145" i="6" s="1"/>
  <c r="R143" i="6" a="1"/>
  <c r="R143" i="6" s="1"/>
  <c r="R141" i="6" a="1"/>
  <c r="R141" i="6" s="1"/>
  <c r="R139" i="6" a="1"/>
  <c r="R139" i="6" s="1"/>
  <c r="R137" i="6" a="1"/>
  <c r="R137" i="6" s="1"/>
  <c r="R188" i="6" a="1"/>
  <c r="R188" i="6" s="1"/>
  <c r="R182" i="6" a="1"/>
  <c r="R182" i="6" s="1"/>
  <c r="R176" i="6" a="1"/>
  <c r="R176" i="6" s="1"/>
  <c r="R170" i="6" a="1"/>
  <c r="R170" i="6" s="1"/>
  <c r="R164" i="6" a="1"/>
  <c r="R164" i="6" s="1"/>
  <c r="R158" i="6" a="1"/>
  <c r="R158" i="6" s="1"/>
  <c r="R150" i="6" a="1"/>
  <c r="R150" i="6" s="1"/>
  <c r="R144" i="6" a="1"/>
  <c r="R144" i="6" s="1"/>
  <c r="R187" i="6" a="1"/>
  <c r="R187" i="6" s="1"/>
  <c r="R183" i="6" a="1"/>
  <c r="R183" i="6" s="1"/>
  <c r="R179" i="6" a="1"/>
  <c r="R179" i="6" s="1"/>
  <c r="R173" i="6" a="1"/>
  <c r="R173" i="6" s="1"/>
  <c r="R169" i="6" a="1"/>
  <c r="R169" i="6" s="1"/>
  <c r="R165" i="6" a="1"/>
  <c r="R165" i="6" s="1"/>
  <c r="R161" i="6" a="1"/>
  <c r="R161" i="6" s="1"/>
  <c r="R157" i="6" a="1"/>
  <c r="R157" i="6" s="1"/>
  <c r="R153" i="6" a="1"/>
  <c r="R153" i="6" s="1"/>
  <c r="R82" i="6" a="1"/>
  <c r="R82" i="6" s="1"/>
  <c r="R131" i="6" a="1"/>
  <c r="R131" i="6" s="1"/>
  <c r="R125" i="6" a="1"/>
  <c r="R125" i="6" s="1"/>
  <c r="R119" i="6" a="1"/>
  <c r="R119" i="6" s="1"/>
  <c r="R113" i="6" a="1"/>
  <c r="R113" i="6" s="1"/>
  <c r="R107" i="6" a="1"/>
  <c r="R107" i="6" s="1"/>
  <c r="R101" i="6" a="1"/>
  <c r="R101" i="6" s="1"/>
  <c r="R99" i="6" a="1"/>
  <c r="R99" i="6" s="1"/>
  <c r="R97" i="6" a="1"/>
  <c r="R97" i="6" s="1"/>
  <c r="R95" i="6" a="1"/>
  <c r="R95" i="6" s="1"/>
  <c r="R93" i="6" a="1"/>
  <c r="R93" i="6" s="1"/>
  <c r="R91" i="6" a="1"/>
  <c r="R91" i="6" s="1"/>
  <c r="R89" i="6" a="1"/>
  <c r="R89" i="6" s="1"/>
  <c r="R87" i="6" a="1"/>
  <c r="R87" i="6" s="1"/>
  <c r="R85" i="6" a="1"/>
  <c r="R85" i="6" s="1"/>
  <c r="R83" i="6" a="1"/>
  <c r="R83" i="6" s="1"/>
  <c r="R81" i="6" a="1"/>
  <c r="R81" i="6" s="1"/>
  <c r="R79" i="6" a="1"/>
  <c r="R79" i="6" s="1"/>
  <c r="R77" i="6" a="1"/>
  <c r="R77" i="6" s="1"/>
  <c r="R75" i="6" a="1"/>
  <c r="R75" i="6" s="1"/>
  <c r="R73" i="6" a="1"/>
  <c r="R73" i="6" s="1"/>
  <c r="R71" i="6" a="1"/>
  <c r="R71" i="6" s="1"/>
  <c r="R69" i="6" a="1"/>
  <c r="R69" i="6" s="1"/>
  <c r="R135" i="6" a="1"/>
  <c r="R135" i="6" s="1"/>
  <c r="R129" i="6" a="1"/>
  <c r="R129" i="6" s="1"/>
  <c r="R123" i="6" a="1"/>
  <c r="R123" i="6" s="1"/>
  <c r="R117" i="6" a="1"/>
  <c r="R117" i="6" s="1"/>
  <c r="R111" i="6" a="1"/>
  <c r="R111" i="6" s="1"/>
  <c r="R105" i="6" a="1"/>
  <c r="R105" i="6" s="1"/>
  <c r="R134" i="6" a="1"/>
  <c r="R134" i="6" s="1"/>
  <c r="R130" i="6" a="1"/>
  <c r="R130" i="6" s="1"/>
  <c r="R126" i="6" a="1"/>
  <c r="R126" i="6" s="1"/>
  <c r="R122" i="6" a="1"/>
  <c r="R122" i="6" s="1"/>
  <c r="R118" i="6" a="1"/>
  <c r="R118" i="6" s="1"/>
  <c r="R114" i="6" a="1"/>
  <c r="R114" i="6" s="1"/>
  <c r="R110" i="6" a="1"/>
  <c r="R110" i="6" s="1"/>
  <c r="R106" i="6" a="1"/>
  <c r="R106" i="6" s="1"/>
  <c r="R102" i="6" a="1"/>
  <c r="R102" i="6" s="1"/>
  <c r="R98" i="6" a="1"/>
  <c r="R98" i="6" s="1"/>
  <c r="R94" i="6" a="1"/>
  <c r="R94" i="6" s="1"/>
  <c r="R90" i="6" a="1"/>
  <c r="R90" i="6" s="1"/>
  <c r="R86" i="6" a="1"/>
  <c r="R86" i="6" s="1"/>
  <c r="R84" i="6" a="1"/>
  <c r="R84" i="6" s="1"/>
  <c r="R80" i="6" a="1"/>
  <c r="R80" i="6" s="1"/>
  <c r="R78" i="6" a="1"/>
  <c r="R78" i="6" s="1"/>
  <c r="R76" i="6" a="1"/>
  <c r="R76" i="6" s="1"/>
  <c r="R74" i="6" a="1"/>
  <c r="R74" i="6" s="1"/>
  <c r="R72" i="6" a="1"/>
  <c r="R72" i="6" s="1"/>
  <c r="R70" i="6" a="1"/>
  <c r="R70" i="6" s="1"/>
  <c r="R133" i="6" a="1"/>
  <c r="R133" i="6" s="1"/>
  <c r="R127" i="6" a="1"/>
  <c r="R127" i="6" s="1"/>
  <c r="R121" i="6" a="1"/>
  <c r="R121" i="6" s="1"/>
  <c r="R115" i="6" a="1"/>
  <c r="R115" i="6" s="1"/>
  <c r="R109" i="6" a="1"/>
  <c r="R109" i="6" s="1"/>
  <c r="R103" i="6" a="1"/>
  <c r="R103" i="6" s="1"/>
  <c r="R132" i="6" a="1"/>
  <c r="R132" i="6" s="1"/>
  <c r="R128" i="6" a="1"/>
  <c r="R128" i="6" s="1"/>
  <c r="R124" i="6" a="1"/>
  <c r="R124" i="6" s="1"/>
  <c r="R120" i="6" a="1"/>
  <c r="R120" i="6" s="1"/>
  <c r="R116" i="6" a="1"/>
  <c r="R116" i="6" s="1"/>
  <c r="R112" i="6" a="1"/>
  <c r="R112" i="6" s="1"/>
  <c r="R108" i="6" a="1"/>
  <c r="R108" i="6" s="1"/>
  <c r="R104" i="6" a="1"/>
  <c r="R104" i="6" s="1"/>
  <c r="R100" i="6" a="1"/>
  <c r="R100" i="6" s="1"/>
  <c r="R96" i="6" a="1"/>
  <c r="R96" i="6" s="1"/>
  <c r="R92" i="6" a="1"/>
  <c r="R92" i="6" s="1"/>
  <c r="R88" i="6" a="1"/>
  <c r="R88" i="6" s="1"/>
  <c r="F148" i="6" a="1"/>
  <c r="F148" i="6" s="1"/>
  <c r="F157" i="6" a="1"/>
  <c r="F157" i="6" s="1"/>
  <c r="F160" i="6" a="1"/>
  <c r="F160" i="6" s="1"/>
  <c r="F158" i="6" a="1"/>
  <c r="F158" i="6" s="1"/>
  <c r="F154" i="6" a="1"/>
  <c r="F154" i="6" s="1"/>
  <c r="F150" i="6" a="1"/>
  <c r="F150" i="6" s="1"/>
  <c r="F161" i="6" a="1"/>
  <c r="F161" i="6" s="1"/>
  <c r="F159" i="6" a="1"/>
  <c r="F159" i="6" s="1"/>
  <c r="F155" i="6" a="1"/>
  <c r="F155" i="6" s="1"/>
  <c r="F153" i="6" a="1"/>
  <c r="F153" i="6" s="1"/>
  <c r="F151" i="6" a="1"/>
  <c r="F151" i="6" s="1"/>
  <c r="F149" i="6" a="1"/>
  <c r="F149" i="6" s="1"/>
  <c r="F162" i="6" a="1"/>
  <c r="F162" i="6" s="1"/>
  <c r="F156" i="6" a="1"/>
  <c r="F156" i="6" s="1"/>
  <c r="F152" i="6" a="1"/>
  <c r="F152" i="6" s="1"/>
  <c r="F111" i="6" a="1"/>
  <c r="F111" i="6" s="1"/>
  <c r="F107" i="6" a="1"/>
  <c r="F107" i="6" s="1"/>
  <c r="F146" i="6" a="1"/>
  <c r="F146" i="6" s="1"/>
  <c r="F144" i="6" a="1"/>
  <c r="F144" i="6" s="1"/>
  <c r="F142" i="6" a="1"/>
  <c r="F142" i="6" s="1"/>
  <c r="F140" i="6" a="1"/>
  <c r="F140" i="6" s="1"/>
  <c r="F138" i="6" a="1"/>
  <c r="F138" i="6" s="1"/>
  <c r="F136" i="6" a="1"/>
  <c r="F136" i="6" s="1"/>
  <c r="F134" i="6" a="1"/>
  <c r="F134" i="6" s="1"/>
  <c r="F132" i="6" a="1"/>
  <c r="F132" i="6" s="1"/>
  <c r="F130" i="6" a="1"/>
  <c r="F130" i="6" s="1"/>
  <c r="F128" i="6" a="1"/>
  <c r="F128" i="6" s="1"/>
  <c r="F126" i="6" a="1"/>
  <c r="F126" i="6" s="1"/>
  <c r="F124" i="6" a="1"/>
  <c r="F124" i="6" s="1"/>
  <c r="F122" i="6" a="1"/>
  <c r="F122" i="6" s="1"/>
  <c r="F120" i="6" a="1"/>
  <c r="F120" i="6" s="1"/>
  <c r="F118" i="6" a="1"/>
  <c r="F118" i="6" s="1"/>
  <c r="F116" i="6" a="1"/>
  <c r="F116" i="6" s="1"/>
  <c r="F114" i="6" a="1"/>
  <c r="F114" i="6" s="1"/>
  <c r="F112" i="6" a="1"/>
  <c r="F112" i="6" s="1"/>
  <c r="F110" i="6" a="1"/>
  <c r="F110" i="6" s="1"/>
  <c r="F108" i="6" a="1"/>
  <c r="F108" i="6" s="1"/>
  <c r="F106" i="6" a="1"/>
  <c r="F106" i="6" s="1"/>
  <c r="F147" i="6" a="1"/>
  <c r="F147" i="6" s="1"/>
  <c r="F145" i="6" a="1"/>
  <c r="F145" i="6" s="1"/>
  <c r="F143" i="6" a="1"/>
  <c r="F143" i="6" s="1"/>
  <c r="F141" i="6" a="1"/>
  <c r="F141" i="6" s="1"/>
  <c r="F139" i="6" a="1"/>
  <c r="F139" i="6" s="1"/>
  <c r="F137" i="6" a="1"/>
  <c r="F137" i="6" s="1"/>
  <c r="F135" i="6" a="1"/>
  <c r="F135" i="6" s="1"/>
  <c r="F133" i="6" a="1"/>
  <c r="F133" i="6" s="1"/>
  <c r="F131" i="6" a="1"/>
  <c r="F131" i="6" s="1"/>
  <c r="F129" i="6" a="1"/>
  <c r="F129" i="6" s="1"/>
  <c r="F127" i="6" a="1"/>
  <c r="F127" i="6" s="1"/>
  <c r="F125" i="6" a="1"/>
  <c r="F125" i="6" s="1"/>
  <c r="F123" i="6" a="1"/>
  <c r="F123" i="6" s="1"/>
  <c r="F121" i="6" a="1"/>
  <c r="F121" i="6" s="1"/>
  <c r="F119" i="6" a="1"/>
  <c r="F119" i="6" s="1"/>
  <c r="F117" i="6" a="1"/>
  <c r="F117" i="6" s="1"/>
  <c r="F115" i="6" a="1"/>
  <c r="F115" i="6" s="1"/>
  <c r="F113" i="6" a="1"/>
  <c r="F113" i="6" s="1"/>
  <c r="F109" i="6" a="1"/>
  <c r="F109" i="6" s="1"/>
  <c r="F93" i="6" a="1"/>
  <c r="F93" i="6" s="1"/>
  <c r="F104" i="6" a="1"/>
  <c r="F104" i="6" s="1"/>
  <c r="F102" i="6" a="1"/>
  <c r="F102" i="6" s="1"/>
  <c r="F100" i="6" a="1"/>
  <c r="F100" i="6" s="1"/>
  <c r="F98" i="6" a="1"/>
  <c r="F98" i="6" s="1"/>
  <c r="F96" i="6" a="1"/>
  <c r="F96" i="6" s="1"/>
  <c r="F94" i="6" a="1"/>
  <c r="F94" i="6" s="1"/>
  <c r="F92" i="6" a="1"/>
  <c r="F92" i="6" s="1"/>
  <c r="F105" i="6" a="1"/>
  <c r="F105" i="6" s="1"/>
  <c r="F103" i="6" a="1"/>
  <c r="F103" i="6" s="1"/>
  <c r="F101" i="6" a="1"/>
  <c r="F101" i="6" s="1"/>
  <c r="F99" i="6" a="1"/>
  <c r="F99" i="6" s="1"/>
  <c r="F97" i="6" a="1"/>
  <c r="F97" i="6" s="1"/>
  <c r="F95" i="6" a="1"/>
  <c r="F95" i="6" s="1"/>
  <c r="F76" i="6" a="1"/>
  <c r="F76" i="6" s="1"/>
  <c r="F89" i="6" a="1"/>
  <c r="F89" i="6" s="1"/>
  <c r="F87" i="6" a="1"/>
  <c r="F87" i="6" s="1"/>
  <c r="F81" i="6" a="1"/>
  <c r="F81" i="6" s="1"/>
  <c r="F77" i="6" a="1"/>
  <c r="F77" i="6" s="1"/>
  <c r="F73" i="6" a="1"/>
  <c r="F73" i="6" s="1"/>
  <c r="F69" i="6" a="1"/>
  <c r="F69" i="6" s="1"/>
  <c r="F88" i="6" a="1"/>
  <c r="F88" i="6" s="1"/>
  <c r="F84" i="6" a="1"/>
  <c r="F84" i="6" s="1"/>
  <c r="F80" i="6" a="1"/>
  <c r="F80" i="6" s="1"/>
  <c r="F78" i="6" a="1"/>
  <c r="F78" i="6" s="1"/>
  <c r="F74" i="6" a="1"/>
  <c r="F74" i="6" s="1"/>
  <c r="F72" i="6" a="1"/>
  <c r="F72" i="6" s="1"/>
  <c r="F70" i="6" a="1"/>
  <c r="F70" i="6" s="1"/>
  <c r="F91" i="6" a="1"/>
  <c r="F91" i="6" s="1"/>
  <c r="F85" i="6" a="1"/>
  <c r="F85" i="6" s="1"/>
  <c r="F83" i="6" a="1"/>
  <c r="F83" i="6" s="1"/>
  <c r="F79" i="6" a="1"/>
  <c r="F79" i="6" s="1"/>
  <c r="F75" i="6" a="1"/>
  <c r="F75" i="6" s="1"/>
  <c r="F71" i="6" a="1"/>
  <c r="F71" i="6" s="1"/>
  <c r="F90" i="6" a="1"/>
  <c r="F90" i="6" s="1"/>
  <c r="F86" i="6" a="1"/>
  <c r="F86" i="6" s="1"/>
  <c r="F82" i="6" a="1"/>
  <c r="F82" i="6" s="1"/>
  <c r="R68" i="6" a="1"/>
  <c r="R68" i="6" s="1"/>
  <c r="R3" i="6" a="1"/>
  <c r="R3" i="6" s="1"/>
  <c r="R67" i="6" a="1"/>
  <c r="R67" i="6" s="1"/>
  <c r="R63" i="6" a="1"/>
  <c r="R63" i="6" s="1"/>
  <c r="R59" i="6" a="1"/>
  <c r="R59" i="6" s="1"/>
  <c r="R55" i="6" a="1"/>
  <c r="R55" i="6" s="1"/>
  <c r="R51" i="6" a="1"/>
  <c r="R51" i="6" s="1"/>
  <c r="R47" i="6" a="1"/>
  <c r="R47" i="6" s="1"/>
  <c r="R43" i="6" a="1"/>
  <c r="R43" i="6" s="1"/>
  <c r="R39" i="6" a="1"/>
  <c r="R39" i="6" s="1"/>
  <c r="R35" i="6" a="1"/>
  <c r="R35" i="6" s="1"/>
  <c r="R31" i="6" a="1"/>
  <c r="R31" i="6" s="1"/>
  <c r="R27" i="6" a="1"/>
  <c r="R27" i="6" s="1"/>
  <c r="R23" i="6" a="1"/>
  <c r="R23" i="6" s="1"/>
  <c r="R19" i="6" a="1"/>
  <c r="R19" i="6" s="1"/>
  <c r="R64" i="6" a="1"/>
  <c r="R64" i="6" s="1"/>
  <c r="R60" i="6" a="1"/>
  <c r="R60" i="6" s="1"/>
  <c r="R56" i="6" a="1"/>
  <c r="R56" i="6" s="1"/>
  <c r="R52" i="6" a="1"/>
  <c r="R52" i="6" s="1"/>
  <c r="R48" i="6" a="1"/>
  <c r="R48" i="6" s="1"/>
  <c r="R44" i="6" a="1"/>
  <c r="R44" i="6" s="1"/>
  <c r="R40" i="6" a="1"/>
  <c r="R40" i="6" s="1"/>
  <c r="R36" i="6" a="1"/>
  <c r="R36" i="6" s="1"/>
  <c r="R32" i="6" a="1"/>
  <c r="R32" i="6" s="1"/>
  <c r="R28" i="6" a="1"/>
  <c r="R28" i="6" s="1"/>
  <c r="R24" i="6" a="1"/>
  <c r="R24" i="6" s="1"/>
  <c r="R22" i="6" a="1"/>
  <c r="R22" i="6" s="1"/>
  <c r="R18" i="6" a="1"/>
  <c r="R18" i="6" s="1"/>
  <c r="R16" i="6" a="1"/>
  <c r="R16" i="6" s="1"/>
  <c r="R14" i="6" a="1"/>
  <c r="R14" i="6" s="1"/>
  <c r="R12" i="6" a="1"/>
  <c r="R12" i="6" s="1"/>
  <c r="R10" i="6" a="1"/>
  <c r="R10" i="6" s="1"/>
  <c r="R8" i="6" a="1"/>
  <c r="R8" i="6" s="1"/>
  <c r="R6" i="6" a="1"/>
  <c r="R6" i="6" s="1"/>
  <c r="R4" i="6" a="1"/>
  <c r="R4" i="6" s="1"/>
  <c r="F3" i="6" a="1"/>
  <c r="F3" i="6" s="1"/>
  <c r="R66" i="6" a="1"/>
  <c r="R66" i="6" s="1"/>
  <c r="R62" i="6" a="1"/>
  <c r="R62" i="6" s="1"/>
  <c r="R58" i="6" a="1"/>
  <c r="R58" i="6" s="1"/>
  <c r="R54" i="6" a="1"/>
  <c r="R54" i="6" s="1"/>
  <c r="R50" i="6" a="1"/>
  <c r="R50" i="6" s="1"/>
  <c r="R46" i="6" a="1"/>
  <c r="R46" i="6" s="1"/>
  <c r="R42" i="6" a="1"/>
  <c r="R42" i="6" s="1"/>
  <c r="R38" i="6" a="1"/>
  <c r="R38" i="6" s="1"/>
  <c r="R34" i="6" a="1"/>
  <c r="R34" i="6" s="1"/>
  <c r="R30" i="6" a="1"/>
  <c r="R30" i="6" s="1"/>
  <c r="R26" i="6" a="1"/>
  <c r="R26" i="6" s="1"/>
  <c r="R20" i="6" a="1"/>
  <c r="R20" i="6" s="1"/>
  <c r="R65" i="6" a="1"/>
  <c r="R65" i="6" s="1"/>
  <c r="R61" i="6" a="1"/>
  <c r="R61" i="6" s="1"/>
  <c r="R57" i="6" a="1"/>
  <c r="R57" i="6" s="1"/>
  <c r="R53" i="6" a="1"/>
  <c r="R53" i="6" s="1"/>
  <c r="R49" i="6" a="1"/>
  <c r="R49" i="6" s="1"/>
  <c r="R45" i="6" a="1"/>
  <c r="R45" i="6" s="1"/>
  <c r="R41" i="6" a="1"/>
  <c r="R41" i="6" s="1"/>
  <c r="R37" i="6" a="1"/>
  <c r="R37" i="6" s="1"/>
  <c r="R33" i="6" a="1"/>
  <c r="R33" i="6" s="1"/>
  <c r="R29" i="6" a="1"/>
  <c r="R29" i="6" s="1"/>
  <c r="R25" i="6" a="1"/>
  <c r="R25" i="6" s="1"/>
  <c r="R21" i="6" a="1"/>
  <c r="R21" i="6" s="1"/>
  <c r="R17" i="6" a="1"/>
  <c r="R17" i="6" s="1"/>
  <c r="R15" i="6" a="1"/>
  <c r="R15" i="6" s="1"/>
  <c r="R13" i="6" a="1"/>
  <c r="R13" i="6" s="1"/>
  <c r="R11" i="6" a="1"/>
  <c r="R11" i="6" s="1"/>
  <c r="R9" i="6" a="1"/>
  <c r="R9" i="6" s="1"/>
  <c r="R7" i="6" a="1"/>
  <c r="R7" i="6" s="1"/>
  <c r="R5" i="6" a="1"/>
  <c r="R5" i="6" s="1"/>
  <c r="F65" i="6" a="1"/>
  <c r="F65" i="6" s="1"/>
  <c r="F61" i="6" a="1"/>
  <c r="F61" i="6" s="1"/>
  <c r="F57" i="6" a="1"/>
  <c r="F57" i="6" s="1"/>
  <c r="F53" i="6" a="1"/>
  <c r="F53" i="6" s="1"/>
  <c r="F49" i="6" a="1"/>
  <c r="F49" i="6" s="1"/>
  <c r="F45" i="6" a="1"/>
  <c r="F45" i="6" s="1"/>
  <c r="F41" i="6" a="1"/>
  <c r="F41" i="6" s="1"/>
  <c r="F37" i="6" a="1"/>
  <c r="F37" i="6" s="1"/>
  <c r="F33" i="6" a="1"/>
  <c r="F33" i="6" s="1"/>
  <c r="F29" i="6" a="1"/>
  <c r="F29" i="6" s="1"/>
  <c r="F25" i="6" a="1"/>
  <c r="F25" i="6" s="1"/>
  <c r="F19" i="6" a="1"/>
  <c r="F19" i="6" s="1"/>
  <c r="F68" i="6" a="1"/>
  <c r="F68" i="6" s="1"/>
  <c r="F64" i="6" a="1"/>
  <c r="F64" i="6" s="1"/>
  <c r="F60" i="6" a="1"/>
  <c r="F60" i="6" s="1"/>
  <c r="F56" i="6" a="1"/>
  <c r="F56" i="6" s="1"/>
  <c r="F52" i="6" a="1"/>
  <c r="F52" i="6" s="1"/>
  <c r="F48" i="6" a="1"/>
  <c r="F48" i="6" s="1"/>
  <c r="F44" i="6" a="1"/>
  <c r="F44" i="6" s="1"/>
  <c r="F40" i="6" a="1"/>
  <c r="F40" i="6" s="1"/>
  <c r="F36" i="6" a="1"/>
  <c r="F36" i="6" s="1"/>
  <c r="F32" i="6" a="1"/>
  <c r="F32" i="6" s="1"/>
  <c r="F28" i="6" a="1"/>
  <c r="F28" i="6" s="1"/>
  <c r="F24" i="6" a="1"/>
  <c r="F24" i="6" s="1"/>
  <c r="F22" i="6" a="1"/>
  <c r="F22" i="6" s="1"/>
  <c r="F18" i="6" a="1"/>
  <c r="F18" i="6" s="1"/>
  <c r="F16" i="6" a="1"/>
  <c r="F16" i="6" s="1"/>
  <c r="F14" i="6" a="1"/>
  <c r="F14" i="6" s="1"/>
  <c r="F12" i="6" a="1"/>
  <c r="F12" i="6" s="1"/>
  <c r="F10" i="6" a="1"/>
  <c r="F10" i="6" s="1"/>
  <c r="F8" i="6" a="1"/>
  <c r="F8" i="6" s="1"/>
  <c r="F6" i="6" a="1"/>
  <c r="F6" i="6" s="1"/>
  <c r="F4" i="6" a="1"/>
  <c r="F4" i="6" s="1"/>
  <c r="L3" i="6" a="1"/>
  <c r="L3" i="6" s="1"/>
  <c r="F66" i="6" a="1"/>
  <c r="F66" i="6" s="1"/>
  <c r="F62" i="6" a="1"/>
  <c r="F62" i="6" s="1"/>
  <c r="F58" i="6" a="1"/>
  <c r="F58" i="6" s="1"/>
  <c r="F54" i="6" a="1"/>
  <c r="F54" i="6" s="1"/>
  <c r="F50" i="6" a="1"/>
  <c r="F50" i="6" s="1"/>
  <c r="F46" i="6" a="1"/>
  <c r="F46" i="6" s="1"/>
  <c r="F42" i="6" a="1"/>
  <c r="F42" i="6" s="1"/>
  <c r="F38" i="6" a="1"/>
  <c r="F38" i="6" s="1"/>
  <c r="F34" i="6" a="1"/>
  <c r="F34" i="6" s="1"/>
  <c r="F30" i="6" a="1"/>
  <c r="F30" i="6" s="1"/>
  <c r="F26" i="6" a="1"/>
  <c r="F26" i="6" s="1"/>
  <c r="F20" i="6" a="1"/>
  <c r="F20" i="6" s="1"/>
  <c r="F67" i="6" a="1"/>
  <c r="F67" i="6" s="1"/>
  <c r="F63" i="6" a="1"/>
  <c r="F63" i="6" s="1"/>
  <c r="F59" i="6" a="1"/>
  <c r="F59" i="6" s="1"/>
  <c r="F55" i="6" a="1"/>
  <c r="F55" i="6" s="1"/>
  <c r="F51" i="6" a="1"/>
  <c r="F51" i="6" s="1"/>
  <c r="F47" i="6" a="1"/>
  <c r="F47" i="6" s="1"/>
  <c r="F43" i="6" a="1"/>
  <c r="F43" i="6" s="1"/>
  <c r="F39" i="6" a="1"/>
  <c r="F39" i="6" s="1"/>
  <c r="F35" i="6" a="1"/>
  <c r="F35" i="6" s="1"/>
  <c r="F31" i="6" a="1"/>
  <c r="F31" i="6" s="1"/>
  <c r="F27" i="6" a="1"/>
  <c r="F27" i="6" s="1"/>
  <c r="F23" i="6" a="1"/>
  <c r="F23" i="6" s="1"/>
  <c r="F21" i="6" a="1"/>
  <c r="F21" i="6" s="1"/>
  <c r="F17" i="6" a="1"/>
  <c r="F17" i="6" s="1"/>
  <c r="F15" i="6" a="1"/>
  <c r="F15" i="6" s="1"/>
  <c r="F13" i="6" a="1"/>
  <c r="F13" i="6" s="1"/>
  <c r="F11" i="6" a="1"/>
  <c r="F11" i="6" s="1"/>
  <c r="F9" i="6" a="1"/>
  <c r="F9" i="6" s="1"/>
  <c r="F7" i="6" a="1"/>
  <c r="F7" i="6" s="1"/>
  <c r="F5" i="6" a="1"/>
  <c r="F5" i="6" s="1"/>
  <c r="L22" i="6" a="1"/>
  <c r="L22" i="6" s="1"/>
  <c r="L20" i="6" a="1"/>
  <c r="L20" i="6" s="1"/>
  <c r="L18" i="6" a="1"/>
  <c r="L18" i="6" s="1"/>
  <c r="L16" i="6" a="1"/>
  <c r="L16" i="6" s="1"/>
  <c r="L14" i="6" a="1"/>
  <c r="L14" i="6" s="1"/>
  <c r="L12" i="6" a="1"/>
  <c r="L12" i="6" s="1"/>
  <c r="L10" i="6" a="1"/>
  <c r="L10" i="6" s="1"/>
  <c r="L8" i="6" a="1"/>
  <c r="L8" i="6" s="1"/>
  <c r="L6" i="6" a="1"/>
  <c r="L6" i="6" s="1"/>
  <c r="L4" i="6" a="1"/>
  <c r="L4" i="6" s="1"/>
  <c r="L21" i="6" a="1"/>
  <c r="L21" i="6" s="1"/>
  <c r="L19" i="6" a="1"/>
  <c r="L19" i="6" s="1"/>
  <c r="L17" i="6" a="1"/>
  <c r="L17" i="6" s="1"/>
  <c r="L15" i="6" a="1"/>
  <c r="L15" i="6" s="1"/>
  <c r="L13" i="6" a="1"/>
  <c r="L13" i="6" s="1"/>
  <c r="L11" i="6" a="1"/>
  <c r="L11" i="6" s="1"/>
  <c r="L9" i="6" a="1"/>
  <c r="L9" i="6" s="1"/>
  <c r="L7" i="6" a="1"/>
  <c r="L7" i="6" s="1"/>
  <c r="L5" i="6" a="1"/>
  <c r="L5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<sst xmlns="http://schemas.openxmlformats.org/spreadsheetml/2006/main" count="419" uniqueCount="323">
  <si>
    <t>b</t>
  </si>
  <si>
    <t>ɑ</t>
  </si>
  <si>
    <t>ʙ</t>
  </si>
  <si>
    <t>ɒ</t>
  </si>
  <si>
    <t>c</t>
  </si>
  <si>
    <t>æ</t>
  </si>
  <si>
    <t>ç</t>
  </si>
  <si>
    <t>aɪ</t>
  </si>
  <si>
    <t>d</t>
  </si>
  <si>
    <t>aʊ</t>
  </si>
  <si>
    <t>ð</t>
  </si>
  <si>
    <t>ɔ</t>
  </si>
  <si>
    <t>On/Off</t>
  </si>
  <si>
    <t>s</t>
  </si>
  <si>
    <t>Minimum number of syllables:</t>
  </si>
  <si>
    <t>ɔɪ</t>
  </si>
  <si>
    <t>e</t>
  </si>
  <si>
    <t>ə</t>
  </si>
  <si>
    <t>eə</t>
  </si>
  <si>
    <t>eɪ</t>
  </si>
  <si>
    <t>əʊ</t>
  </si>
  <si>
    <t>ɜ</t>
  </si>
  <si>
    <t>i</t>
  </si>
  <si>
    <t>ɪ</t>
  </si>
  <si>
    <t>ɪə</t>
  </si>
  <si>
    <t>u</t>
  </si>
  <si>
    <t>ʊ</t>
  </si>
  <si>
    <t>ʊə</t>
  </si>
  <si>
    <t>ʌ</t>
  </si>
  <si>
    <t>Maximum number of syllables:</t>
  </si>
  <si>
    <t>ɖ</t>
  </si>
  <si>
    <t>f</t>
  </si>
  <si>
    <t>ɢ</t>
  </si>
  <si>
    <t>ɣ</t>
  </si>
  <si>
    <t>ɡ</t>
  </si>
  <si>
    <t>ħ</t>
  </si>
  <si>
    <t>ɦ</t>
  </si>
  <si>
    <t>ɟ</t>
  </si>
  <si>
    <t>ʝ</t>
  </si>
  <si>
    <t>k</t>
  </si>
  <si>
    <t>l</t>
  </si>
  <si>
    <t>ʟ</t>
  </si>
  <si>
    <t>ɭ</t>
  </si>
  <si>
    <t>ɬ</t>
  </si>
  <si>
    <t>ɮ</t>
  </si>
  <si>
    <t>m</t>
  </si>
  <si>
    <t>ɱ</t>
  </si>
  <si>
    <t>ɰ</t>
  </si>
  <si>
    <t>n</t>
  </si>
  <si>
    <t>ɴ</t>
  </si>
  <si>
    <t>ɲ</t>
  </si>
  <si>
    <t>ɳ</t>
  </si>
  <si>
    <t>ŋ</t>
  </si>
  <si>
    <t>p</t>
  </si>
  <si>
    <t>ɸ</t>
  </si>
  <si>
    <t>q</t>
  </si>
  <si>
    <t>r</t>
  </si>
  <si>
    <t>ʀ</t>
  </si>
  <si>
    <t>ɽ</t>
  </si>
  <si>
    <t>ɹ</t>
  </si>
  <si>
    <t>ɻ</t>
  </si>
  <si>
    <t>ʁ</t>
  </si>
  <si>
    <t>ʂ</t>
  </si>
  <si>
    <t>ʃ</t>
  </si>
  <si>
    <t>t</t>
  </si>
  <si>
    <t>ʈ</t>
  </si>
  <si>
    <t>v</t>
  </si>
  <si>
    <t>ʋ</t>
  </si>
  <si>
    <t>w</t>
  </si>
  <si>
    <t>x</t>
  </si>
  <si>
    <t>ʎ</t>
  </si>
  <si>
    <t>z</t>
  </si>
  <si>
    <t>ʐ</t>
  </si>
  <si>
    <t>ʒ</t>
  </si>
  <si>
    <t>ʔ</t>
  </si>
  <si>
    <t>ʕ</t>
  </si>
  <si>
    <t>β</t>
  </si>
  <si>
    <t>θ</t>
  </si>
  <si>
    <t>χ</t>
  </si>
  <si>
    <t>ѵ</t>
  </si>
  <si>
    <t>V</t>
  </si>
  <si>
    <t>[C]V</t>
  </si>
  <si>
    <t>V[C]</t>
  </si>
  <si>
    <t>[C]V[C]</t>
  </si>
  <si>
    <t>Combo</t>
  </si>
  <si>
    <t>Chance</t>
  </si>
  <si>
    <t>ɾ</t>
  </si>
  <si>
    <t>h</t>
  </si>
  <si>
    <t>j</t>
  </si>
  <si>
    <t>t͡s</t>
  </si>
  <si>
    <t>t͡ʃ</t>
  </si>
  <si>
    <t>ʈ͡ʂ</t>
  </si>
  <si>
    <t>d͡z</t>
  </si>
  <si>
    <t>d͡ʒ</t>
  </si>
  <si>
    <t>ɖ͡ʐ</t>
  </si>
  <si>
    <t>Onset</t>
  </si>
  <si>
    <t>Coda</t>
  </si>
  <si>
    <t>Nucleus</t>
  </si>
  <si>
    <t>Random #</t>
  </si>
  <si>
    <t>Selected</t>
  </si>
  <si>
    <t>sp</t>
  </si>
  <si>
    <t>st</t>
  </si>
  <si>
    <t>sʈ</t>
  </si>
  <si>
    <t>sk</t>
  </si>
  <si>
    <t>sf</t>
  </si>
  <si>
    <t>sv</t>
  </si>
  <si>
    <t>sm</t>
  </si>
  <si>
    <t>sn</t>
  </si>
  <si>
    <t>sɱ</t>
  </si>
  <si>
    <t>sɳ</t>
  </si>
  <si>
    <t>sɲ</t>
  </si>
  <si>
    <t>sŋ</t>
  </si>
  <si>
    <t>sɴ</t>
  </si>
  <si>
    <t>sl</t>
  </si>
  <si>
    <t>sɬ</t>
  </si>
  <si>
    <t>sɹ</t>
  </si>
  <si>
    <t>sʋ</t>
  </si>
  <si>
    <t>sw</t>
  </si>
  <si>
    <t>sj</t>
  </si>
  <si>
    <t>sʝ</t>
  </si>
  <si>
    <t>sç</t>
  </si>
  <si>
    <t>sɟ</t>
  </si>
  <si>
    <t>sc</t>
  </si>
  <si>
    <t>dl</t>
  </si>
  <si>
    <t>ɖl</t>
  </si>
  <si>
    <t>ʈl</t>
  </si>
  <si>
    <t>pl</t>
  </si>
  <si>
    <t>kl</t>
  </si>
  <si>
    <t>bl</t>
  </si>
  <si>
    <t>fl</t>
  </si>
  <si>
    <t>vl</t>
  </si>
  <si>
    <t>ʃl</t>
  </si>
  <si>
    <t>ʂl</t>
  </si>
  <si>
    <t>ʐl</t>
  </si>
  <si>
    <t>zl</t>
  </si>
  <si>
    <t>pj</t>
  </si>
  <si>
    <t>tj</t>
  </si>
  <si>
    <t>kj</t>
  </si>
  <si>
    <t>bj</t>
  </si>
  <si>
    <t>dj</t>
  </si>
  <si>
    <t>mj</t>
  </si>
  <si>
    <t>nj</t>
  </si>
  <si>
    <t>ŋj</t>
  </si>
  <si>
    <t>lj</t>
  </si>
  <si>
    <t>θj</t>
  </si>
  <si>
    <t>hj</t>
  </si>
  <si>
    <t>tw</t>
  </si>
  <si>
    <t>kw</t>
  </si>
  <si>
    <t>dw</t>
  </si>
  <si>
    <t>ʃw</t>
  </si>
  <si>
    <t>θw</t>
  </si>
  <si>
    <t>ŋw</t>
  </si>
  <si>
    <t>nw</t>
  </si>
  <si>
    <t>mw</t>
  </si>
  <si>
    <t>zw</t>
  </si>
  <si>
    <t>ðw</t>
  </si>
  <si>
    <t>pw</t>
  </si>
  <si>
    <t>ʒw</t>
  </si>
  <si>
    <t>pɹ</t>
  </si>
  <si>
    <t>tɹ</t>
  </si>
  <si>
    <t>kɹ</t>
  </si>
  <si>
    <t>bɹ</t>
  </si>
  <si>
    <t>dɹ</t>
  </si>
  <si>
    <t>fɹ</t>
  </si>
  <si>
    <t>vɹ</t>
  </si>
  <si>
    <t>ʃɹ</t>
  </si>
  <si>
    <t>θɹ</t>
  </si>
  <si>
    <t>zɹ</t>
  </si>
  <si>
    <t>nɹ</t>
  </si>
  <si>
    <t>ʒɹ</t>
  </si>
  <si>
    <t>ɬɹ</t>
  </si>
  <si>
    <t>ʃp</t>
  </si>
  <si>
    <t>ʃk</t>
  </si>
  <si>
    <t>ʃt</t>
  </si>
  <si>
    <t>spw</t>
  </si>
  <si>
    <t>spɹ</t>
  </si>
  <si>
    <t>spj</t>
  </si>
  <si>
    <t>stl</t>
  </si>
  <si>
    <t>stw</t>
  </si>
  <si>
    <t>stɹ</t>
  </si>
  <si>
    <t>ʂʈɻ</t>
  </si>
  <si>
    <t>stj</t>
  </si>
  <si>
    <t>skl</t>
  </si>
  <si>
    <t>skw</t>
  </si>
  <si>
    <t>skɹ</t>
  </si>
  <si>
    <t>skj</t>
  </si>
  <si>
    <t>bd</t>
  </si>
  <si>
    <t>d͡ʒd</t>
  </si>
  <si>
    <t>md</t>
  </si>
  <si>
    <t>nd</t>
  </si>
  <si>
    <t>ɳɖ</t>
  </si>
  <si>
    <t>ŋd</t>
  </si>
  <si>
    <t>ld</t>
  </si>
  <si>
    <t>vd</t>
  </si>
  <si>
    <t>ðd</t>
  </si>
  <si>
    <t>zd</t>
  </si>
  <si>
    <t>ʐɖ</t>
  </si>
  <si>
    <t>ʒd</t>
  </si>
  <si>
    <t>pt</t>
  </si>
  <si>
    <t>kt</t>
  </si>
  <si>
    <t>t͡ʃt</t>
  </si>
  <si>
    <t>nt</t>
  </si>
  <si>
    <t>ɳʈ</t>
  </si>
  <si>
    <t>lt</t>
  </si>
  <si>
    <t>ɭʈ</t>
  </si>
  <si>
    <t>ft</t>
  </si>
  <si>
    <t>θt</t>
  </si>
  <si>
    <t>ʂʈ</t>
  </si>
  <si>
    <t>bz</t>
  </si>
  <si>
    <t>dz</t>
  </si>
  <si>
    <t>mz</t>
  </si>
  <si>
    <t>nz</t>
  </si>
  <si>
    <t>ɳʐ</t>
  </si>
  <si>
    <t>ŋz</t>
  </si>
  <si>
    <t>lz</t>
  </si>
  <si>
    <t>vz</t>
  </si>
  <si>
    <t>ðz</t>
  </si>
  <si>
    <t>ps</t>
  </si>
  <si>
    <t>ts</t>
  </si>
  <si>
    <t>ʈʂ</t>
  </si>
  <si>
    <t>ks</t>
  </si>
  <si>
    <t>ns</t>
  </si>
  <si>
    <t>ɳʂ</t>
  </si>
  <si>
    <t>ls</t>
  </si>
  <si>
    <t>fs</t>
  </si>
  <si>
    <t>θs</t>
  </si>
  <si>
    <t>pθ</t>
  </si>
  <si>
    <t>tθ</t>
  </si>
  <si>
    <t>mθ</t>
  </si>
  <si>
    <t>nθ</t>
  </si>
  <si>
    <t>lθ</t>
  </si>
  <si>
    <t>fθ</t>
  </si>
  <si>
    <t>mp</t>
  </si>
  <si>
    <t>lp</t>
  </si>
  <si>
    <t>ŋk</t>
  </si>
  <si>
    <t>lk</t>
  </si>
  <si>
    <t>mf</t>
  </si>
  <si>
    <t>lf</t>
  </si>
  <si>
    <t>nt͡ʃ</t>
  </si>
  <si>
    <t>lt͡ʃ</t>
  </si>
  <si>
    <t>nd͡ʒ</t>
  </si>
  <si>
    <t>lb</t>
  </si>
  <si>
    <t>lm</t>
  </si>
  <si>
    <t>ln</t>
  </si>
  <si>
    <t>lv</t>
  </si>
  <si>
    <t>lʃ</t>
  </si>
  <si>
    <t>pts</t>
  </si>
  <si>
    <t>pθs</t>
  </si>
  <si>
    <t>tθs</t>
  </si>
  <si>
    <t>kts</t>
  </si>
  <si>
    <t>mps</t>
  </si>
  <si>
    <t>mfs</t>
  </si>
  <si>
    <t>nts</t>
  </si>
  <si>
    <t>ɳʈʂ</t>
  </si>
  <si>
    <t>nθs</t>
  </si>
  <si>
    <t>ŋks</t>
  </si>
  <si>
    <t>lps</t>
  </si>
  <si>
    <t>lts</t>
  </si>
  <si>
    <t>ɭʈʂ</t>
  </si>
  <si>
    <t>lks</t>
  </si>
  <si>
    <t>lfs</t>
  </si>
  <si>
    <t>lθs</t>
  </si>
  <si>
    <t>sps</t>
  </si>
  <si>
    <t>sts</t>
  </si>
  <si>
    <t>ʂʈʂ</t>
  </si>
  <si>
    <t>sks</t>
  </si>
  <si>
    <t>pst</t>
  </si>
  <si>
    <t>tst</t>
  </si>
  <si>
    <t>ʈʂʈ</t>
  </si>
  <si>
    <t>kst</t>
  </si>
  <si>
    <t>dst</t>
  </si>
  <si>
    <t>mpt</t>
  </si>
  <si>
    <t>nst</t>
  </si>
  <si>
    <t>ɳʂʈ</t>
  </si>
  <si>
    <t>nt͡ʃt</t>
  </si>
  <si>
    <t>ŋkt</t>
  </si>
  <si>
    <t>lst</t>
  </si>
  <si>
    <t>ɭʂʈ</t>
  </si>
  <si>
    <t>lpt</t>
  </si>
  <si>
    <t>lkt</t>
  </si>
  <si>
    <t>lt͡ʃt</t>
  </si>
  <si>
    <t>spt</t>
  </si>
  <si>
    <t>skt</t>
  </si>
  <si>
    <t>nd͡ʒd</t>
  </si>
  <si>
    <t>nzd</t>
  </si>
  <si>
    <t>ɳʐɖ</t>
  </si>
  <si>
    <t>ld͡ʒd</t>
  </si>
  <si>
    <t>lmd</t>
  </si>
  <si>
    <t>lvd</t>
  </si>
  <si>
    <t>ndz</t>
  </si>
  <si>
    <t>ɳɖʐ</t>
  </si>
  <si>
    <t>lbz</t>
  </si>
  <si>
    <t>ldz</t>
  </si>
  <si>
    <t>lmz</t>
  </si>
  <si>
    <t>lnz</t>
  </si>
  <si>
    <t>ɭɳʐ</t>
  </si>
  <si>
    <t>lvz</t>
  </si>
  <si>
    <t>ksθ</t>
  </si>
  <si>
    <t>ntθ</t>
  </si>
  <si>
    <t>ŋkθ</t>
  </si>
  <si>
    <t>lfθ</t>
  </si>
  <si>
    <t>ɡɹ</t>
  </si>
  <si>
    <t>ɡj</t>
  </si>
  <si>
    <t>ɡl</t>
  </si>
  <si>
    <t>ɡw</t>
  </si>
  <si>
    <t>ɡd</t>
  </si>
  <si>
    <t>ɡz</t>
  </si>
  <si>
    <t>ŋɡ</t>
  </si>
  <si>
    <t>ʘ</t>
  </si>
  <si>
    <t>ǀ</t>
  </si>
  <si>
    <t>ǃ</t>
  </si>
  <si>
    <t>ǂ</t>
  </si>
  <si>
    <t>ǁ</t>
  </si>
  <si>
    <t>ɓ</t>
  </si>
  <si>
    <t>ɗ</t>
  </si>
  <si>
    <t>ʄ</t>
  </si>
  <si>
    <t>ɠ</t>
  </si>
  <si>
    <t>ʛ</t>
  </si>
  <si>
    <t>pʼ</t>
  </si>
  <si>
    <t>tʼ</t>
  </si>
  <si>
    <t>kʼ</t>
  </si>
  <si>
    <t>sʼ</t>
  </si>
  <si>
    <t>Weighting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</si>
</sst>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1" xfId="0" applyNumberFormat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4" xfId="0" applyNumberFormat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3" borderId="1" xfId="0" applyNumberFormat="1" applyFill="1" applyBorder="1" applyAlignment="1" applyProtection="1">
      <alignment horizontal="center" vertical="center"/>
    </xf>
    <xf numFmtId="0" fontId="0" fillId="3" borderId="2" xfId="0" applyNumberFormat="1" applyFill="1" applyBorder="1" applyAlignment="1" applyProtection="1">
      <alignment horizontal="center" vertical="center"/>
    </xf>
    <xf numFmtId="0" fontId="0" fillId="0" borderId="2" xfId="0" applyNumberForma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 shrinkToFit="1"/>
    </xf>
    <xf numFmtId="0" fontId="0" fillId="3" borderId="3" xfId="0" applyFill="1" applyBorder="1" applyAlignment="1" applyProtection="1">
      <alignment horizontal="center" vertical="center" shrinkToFit="1"/>
    </xf>
    <xf numFmtId="0" fontId="0" fillId="0" borderId="18" xfId="0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</xf>
    <xf numFmtId="0" fontId="3" fillId="0" borderId="7" xfId="0" applyFont="1" applyBorder="1" applyAlignment="1" applyProtection="1">
      <alignment horizontal="center" vertical="center" shrinkToFit="1"/>
    </xf>
    <xf numFmtId="0" fontId="3" fillId="0" borderId="8" xfId="0" applyFont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 shrinkToFit="1"/>
    </xf>
    <xf numFmtId="0" fontId="3" fillId="0" borderId="6" xfId="0" applyFont="1" applyBorder="1" applyAlignment="1" applyProtection="1">
      <alignment horizontal="center" vertical="center" shrinkToFit="1"/>
    </xf>
    <xf numFmtId="0" fontId="3" fillId="0" borderId="0" xfId="0" applyFont="1" applyBorder="1" applyAlignment="1" applyProtection="1">
      <alignment horizontal="center" vertical="center" shrinkToFit="1"/>
    </xf>
    <xf numFmtId="0" fontId="3" fillId="0" borderId="10" xfId="0" applyFont="1" applyBorder="1" applyAlignment="1" applyProtection="1">
      <alignment horizontal="center" vertical="center" shrinkToFit="1"/>
    </xf>
    <xf numFmtId="0" fontId="3" fillId="0" borderId="11" xfId="0" applyFont="1" applyBorder="1" applyAlignment="1" applyProtection="1">
      <alignment horizontal="center" vertical="center" shrinkToFit="1"/>
    </xf>
    <xf numFmtId="0" fontId="3" fillId="0" borderId="12" xfId="0" applyFont="1" applyBorder="1" applyAlignment="1" applyProtection="1">
      <alignment horizontal="center" vertical="center" shrinkToFit="1"/>
    </xf>
    <xf numFmtId="0" fontId="3" fillId="0" borderId="13" xfId="0" applyFont="1" applyBorder="1" applyAlignment="1" applyProtection="1">
      <alignment horizontal="center" vertical="center" shrinkToFit="1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9" fontId="0" fillId="0" borderId="2" xfId="1" applyFont="1" applyBorder="1" applyAlignment="1" applyProtection="1">
      <alignment horizontal="center" vertical="center"/>
    </xf>
    <xf numFmtId="9" fontId="0" fillId="0" borderId="4" xfId="1" applyFont="1" applyBorder="1" applyAlignment="1" applyProtection="1">
      <alignment horizontal="center" vertical="center"/>
    </xf>
    <xf numFmtId="9" fontId="0" fillId="0" borderId="3" xfId="1" applyFont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29"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1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>
        <top style="thin">
          <color theme="4"/>
        </top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1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1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>
        <top style="thin">
          <color theme="4"/>
        </top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164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4</xdr:row>
      <xdr:rowOff>0</xdr:rowOff>
    </xdr:from>
    <xdr:to>
      <xdr:col>30</xdr:col>
      <xdr:colOff>0</xdr:colOff>
      <xdr:row>9</xdr:row>
      <xdr:rowOff>0</xdr:rowOff>
    </xdr:to>
    <xdr:sp macro="[0]!M_CreateNewWord" textlink="">
      <xdr:nvSpPr>
        <xdr:cNvPr id="2" name="B_CreateNewWord">
          <a:extLst>
            <a:ext uri="{FF2B5EF4-FFF2-40B4-BE49-F238E27FC236}">
              <a16:creationId xmlns:a16="http://schemas.microsoft.com/office/drawing/2014/main" id="{7915A14B-597F-42BF-9691-02C5697C7215}"/>
            </a:ext>
          </a:extLst>
        </xdr:cNvPr>
        <xdr:cNvSpPr/>
      </xdr:nvSpPr>
      <xdr:spPr>
        <a:xfrm>
          <a:off x="4876800" y="762000"/>
          <a:ext cx="762000" cy="952500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CREATE</a:t>
          </a:r>
          <a:br>
            <a:rPr lang="en-GB" sz="1200" b="1"/>
          </a:br>
          <a:r>
            <a:rPr lang="en-GB" sz="1200" b="1"/>
            <a:t>NEW</a:t>
          </a:r>
          <a:br>
            <a:rPr lang="en-GB" sz="1200" b="1" baseline="0"/>
          </a:br>
          <a:r>
            <a:rPr lang="en-GB" sz="1200" b="1" baseline="0"/>
            <a:t>WORD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D36CC3-9A17-48EC-84F6-4033C5997323}" name="T_Onset" displayName="T_Onset" ref="B2:F176" totalsRowShown="0" headerRowDxfId="27" dataDxfId="25" headerRowBorderDxfId="26" tableBorderDxfId="24" totalsRowBorderDxfId="23">
  <autoFilter ref="B2:F176" xr:uid="{DDD36CC3-9A17-48EC-84F6-4033C599732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01EEFC1-83B9-4D08-A8CC-C0092AF40B84}" name="Onset" dataDxfId="22"/>
    <tableColumn id="2" xr3:uid="{5953332D-6753-465C-8E2D-7D601803B1F8}" name="On/Off" dataDxfId="21"/>
    <tableColumn id="4" xr3:uid="{ED35D0B3-6004-4429-942F-85543D544637}" name="Weighting" dataDxfId="20"/>
    <tableColumn id="3" xr3:uid="{121A328F-B57D-4DA2-A0E2-0E7B998D7D1B}" name="Random #" dataDxfId="19">
      <calculatedColumnFormula>IF(T_Onset[[#This Row],[On/Off]]=1,RAND()/IF(T_Onset[[#This Row],[Weighting]]="",1,T_Onset[[#This Row],[Weighting]]),"")</calculatedColumnFormula>
    </tableColumn>
    <tableColumn id="5" xr3:uid="{4460E2CC-5BE5-4CA9-B13E-398551C82281}" name="Selected" dataDxfId="18">
      <calculatedColumnFormula array="1">IFERROR(INDEX(T_Onset[Onset],MATCH(1,(T_Onset[Random '#]=MIN(T_Onset[Random '#]))*1,0)),"")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FF0C7E-B2AF-4A96-B968-8EC9F73C8C3B}" name="T_Nucleus" displayName="T_Nucleus" ref="H2:L22" totalsRowShown="0" headerRowDxfId="17" dataDxfId="15" headerRowBorderDxfId="16">
  <autoFilter ref="H2:L22" xr:uid="{BBFF0C7E-B2AF-4A96-B968-8EC9F73C8C3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D2AF88C-7272-4D4D-A48B-4F619D79C415}" name="Nucleus" dataDxfId="14"/>
    <tableColumn id="2" xr3:uid="{0FE8C6E4-4433-431F-AD1E-3E3C1C194C93}" name="On/Off" dataDxfId="13"/>
    <tableColumn id="5" xr3:uid="{D10ADC63-FC3C-4539-9A1E-7FCD7B6DD4DC}" name="Weighting" dataDxfId="12"/>
    <tableColumn id="3" xr3:uid="{075C35CC-64BE-42F2-8FFE-E64D746E6182}" name="Random #" dataDxfId="11">
      <calculatedColumnFormula>IF(T_Nucleus[[#This Row],[On/Off]]=1,RAND()/IF(T_Nucleus[[#This Row],[Weighting]]="",1,T_Nucleus[[#This Row],[Weighting]]),"")</calculatedColumnFormula>
    </tableColumn>
    <tableColumn id="4" xr3:uid="{D9E78FDC-05DA-486E-9E95-2FEDAE44B6EE}" name="Selected" dataDxfId="10">
      <calculatedColumnFormula array="1">IFERROR(INDEX(T_Nucleus[Nucleus],MATCH(1,(T_Nucleus[Random '#]=MIN(T_Nucleus[Random '#]))*1,0)),"")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410665-B774-498A-9901-FD6BD0B26441}" name="T_Coda" displayName="T_Coda" ref="N2:R204" totalsRowShown="0" headerRowDxfId="9" dataDxfId="7" headerRowBorderDxfId="8" tableBorderDxfId="6" totalsRowBorderDxfId="5">
  <autoFilter ref="N2:R204" xr:uid="{9F410665-B774-498A-9901-FD6BD0B2644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F90D704-7068-44DF-BD94-37AF776CCDB3}" name="Coda" dataDxfId="4"/>
    <tableColumn id="2" xr3:uid="{D8338D94-DFAE-4C5D-BADF-B031130F0D4E}" name="On/Off" dataDxfId="3"/>
    <tableColumn id="5" xr3:uid="{A90A871C-3B4B-411C-A617-06EE32242A1F}" name="Weighting" dataDxfId="2"/>
    <tableColumn id="3" xr3:uid="{05164A5F-0793-41A8-83CE-FA929A3EF431}" name="Random #" dataDxfId="1">
      <calculatedColumnFormula>IF(T_Coda[[#This Row],[On/Off]]=1,RAND()/IF(T_Coda[[#This Row],[Weighting]]="",1,T_Coda[[#This Row],[Weighting]]),"")</calculatedColumnFormula>
    </tableColumn>
    <tableColumn id="4" xr3:uid="{E8263D32-4191-4442-A468-F6CEF02ED723}" name="Selected" dataDxfId="0">
      <calculatedColumnFormula array="1">IFERROR(INDEX(T_Coda[Coda],MATCH(1,(T_Coda[Random '#]=MIN(T_Coda[Random '#]))*1,0)),"")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71DE-58DD-4E60-8C66-0F3568AA9B89}">
  <sheetPr codeName="Sheet6"/>
  <dimension ref="A2:BS204"/>
  <sheetViews>
    <sheetView showGridLines="0" showRowColHeaders="0" tabSelected="1" workbookViewId="0">
      <selection activeCell="AA5" sqref="AA5:AD9"/>
    </sheetView>
  </sheetViews>
  <sheetFormatPr defaultColWidth="0" defaultRowHeight="15" x14ac:dyDescent="0.25"/>
  <cols>
    <col min="1" max="1" width="2.85546875" style="1" customWidth="1"/>
    <col min="2" max="2" width="6.28515625" style="1" bestFit="1" customWidth="1"/>
    <col min="3" max="3" width="7.28515625" style="1" bestFit="1" customWidth="1"/>
    <col min="4" max="4" width="10.28515625" style="4" bestFit="1" customWidth="1"/>
    <col min="5" max="5" width="12" style="3" hidden="1" customWidth="1"/>
    <col min="6" max="6" width="8.7109375" style="3" hidden="1" customWidth="1"/>
    <col min="7" max="7" width="2.85546875" style="3" customWidth="1"/>
    <col min="8" max="8" width="8.140625" style="1" bestFit="1" customWidth="1"/>
    <col min="9" max="9" width="7.28515625" style="1" customWidth="1"/>
    <col min="10" max="10" width="10.28515625" style="4" bestFit="1" customWidth="1"/>
    <col min="11" max="11" width="12" style="3" hidden="1" customWidth="1"/>
    <col min="12" max="12" width="8.7109375" style="3" hidden="1" customWidth="1"/>
    <col min="13" max="13" width="2.85546875" style="1" customWidth="1"/>
    <col min="14" max="14" width="5.42578125" style="1" bestFit="1" customWidth="1"/>
    <col min="15" max="15" width="7.28515625" style="1" bestFit="1" customWidth="1"/>
    <col min="16" max="16" width="10.28515625" style="4" bestFit="1" customWidth="1"/>
    <col min="17" max="17" width="12" style="3" hidden="1" customWidth="1"/>
    <col min="18" max="18" width="8.7109375" style="3" hidden="1" customWidth="1"/>
    <col min="19" max="43" width="2.85546875" style="1" customWidth="1"/>
    <col min="44" max="45" width="2.85546875" style="4" customWidth="1"/>
    <col min="46" max="56" width="2.85546875" style="1" customWidth="1"/>
    <col min="57" max="68" width="2.85546875" style="1" hidden="1" customWidth="1"/>
    <col min="69" max="71" width="0" style="1" hidden="1" customWidth="1"/>
    <col min="72" max="16384" width="2.85546875" style="1" hidden="1"/>
  </cols>
  <sheetData>
    <row r="2" spans="2:55" x14ac:dyDescent="0.25">
      <c r="B2" s="10" t="s">
        <v>95</v>
      </c>
      <c r="C2" s="11" t="s">
        <v>12</v>
      </c>
      <c r="D2" s="11" t="s">
        <v>322</v>
      </c>
      <c r="E2" s="11" t="s">
        <v>98</v>
      </c>
      <c r="F2" s="12" t="s">
        <v>99</v>
      </c>
      <c r="H2" s="2" t="s">
        <v>97</v>
      </c>
      <c r="I2" s="2" t="s">
        <v>12</v>
      </c>
      <c r="J2" s="2" t="s">
        <v>322</v>
      </c>
      <c r="K2" s="2" t="s">
        <v>98</v>
      </c>
      <c r="L2" s="2" t="s">
        <v>99</v>
      </c>
      <c r="N2" s="10" t="s">
        <v>96</v>
      </c>
      <c r="O2" s="11" t="s">
        <v>12</v>
      </c>
      <c r="P2" s="11" t="s">
        <v>322</v>
      </c>
      <c r="Q2" s="11" t="s">
        <v>98</v>
      </c>
      <c r="R2" s="12" t="s">
        <v>99</v>
      </c>
      <c r="T2" s="37" t="s">
        <v>14</v>
      </c>
      <c r="U2" s="37"/>
      <c r="V2" s="37"/>
      <c r="W2" s="37"/>
      <c r="X2" s="37"/>
      <c r="Y2" s="37"/>
      <c r="Z2" s="37"/>
      <c r="AA2" s="37"/>
      <c r="AB2" s="37"/>
      <c r="AC2" s="37"/>
      <c r="AD2" s="2">
        <v>1</v>
      </c>
    </row>
    <row r="3" spans="2:55" x14ac:dyDescent="0.25">
      <c r="B3" s="17" t="s">
        <v>53</v>
      </c>
      <c r="C3" s="2">
        <v>1</v>
      </c>
      <c r="D3" s="2">
        <v>1</v>
      </c>
      <c r="E3" s="2">
        <f ca="1">IF(T_Onset[[#This Row],[On/Off]]=1,RAND()/IF(T_Onset[[#This Row],[Weighting]]="",1,T_Onset[[#This Row],[Weighting]]),"")</f>
        <v>0.7553237065631071</v>
      </c>
      <c r="F3" s="5" t="str" cm="1">
        <f t="array" aca="1" ref="F3" ca="1">IFERROR(INDEX(T_Onset[Onset],MATCH(1,(T_Onset[Random '#]=MIN(T_Onset[Random '#]))*1,0)),"")</f>
        <v>ɭ</v>
      </c>
      <c r="H3" s="20" t="s">
        <v>22</v>
      </c>
      <c r="I3" s="2">
        <v>1</v>
      </c>
      <c r="J3" s="2">
        <v>1</v>
      </c>
      <c r="K3" s="2">
        <f ca="1">IF(T_Nucleus[[#This Row],[On/Off]]=1,RAND()/IF(T_Nucleus[[#This Row],[Weighting]]="",1,T_Nucleus[[#This Row],[Weighting]]),"")</f>
        <v>6.3490108188047012E-2</v>
      </c>
      <c r="L3" s="2" t="str" cm="1">
        <f t="array" aca="1" ref="L3" ca="1">IFERROR(INDEX(T_Nucleus[Nucleus],MATCH(1,(T_Nucleus[Random '#]=MIN(T_Nucleus[Random '#]))*1,0)),"")</f>
        <v>i</v>
      </c>
      <c r="N3" s="17" t="s">
        <v>53</v>
      </c>
      <c r="O3" s="2">
        <v>1</v>
      </c>
      <c r="P3" s="2">
        <v>1</v>
      </c>
      <c r="Q3" s="2">
        <f ca="1">IF(T_Coda[[#This Row],[On/Off]]=1,RAND()/IF(T_Coda[[#This Row],[Weighting]]="",1,T_Coda[[#This Row],[Weighting]]),"")</f>
        <v>0.1568359680714444</v>
      </c>
      <c r="R3" s="5" t="str" cm="1">
        <f t="array" aca="1" ref="R3" ca="1">IFERROR(INDEX(T_Coda[Coda],MATCH(1,(T_Coda[Random '#]=MIN(T_Coda[Random '#]))*1,0)),"")</f>
        <v>ʕ</v>
      </c>
      <c r="T3" s="37" t="s">
        <v>29</v>
      </c>
      <c r="U3" s="37"/>
      <c r="V3" s="37"/>
      <c r="W3" s="37"/>
      <c r="X3" s="37"/>
      <c r="Y3" s="37"/>
      <c r="Z3" s="37"/>
      <c r="AA3" s="37"/>
      <c r="AB3" s="37"/>
      <c r="AC3" s="37"/>
      <c r="AD3" s="2">
        <v>2</v>
      </c>
    </row>
    <row r="4" spans="2:55" x14ac:dyDescent="0.25">
      <c r="B4" s="17" t="s">
        <v>0</v>
      </c>
      <c r="C4" s="2">
        <v>1</v>
      </c>
      <c r="D4" s="2">
        <v>1</v>
      </c>
      <c r="E4" s="2">
        <f ca="1">IF(T_Onset[[#This Row],[On/Off]]=1,RAND()/IF(T_Onset[[#This Row],[Weighting]]="",1,T_Onset[[#This Row],[Weighting]]),"")</f>
        <v>0.65153631397821998</v>
      </c>
      <c r="F4" s="5" t="str" cm="1">
        <f t="array" aca="1" ref="F4" ca="1">IFERROR(INDEX(T_Onset[Onset],MATCH(1,(T_Onset[Random '#]=MIN(T_Onset[Random '#]))*1,0)),"")</f>
        <v>ɭ</v>
      </c>
      <c r="H4" s="20" t="s">
        <v>23</v>
      </c>
      <c r="I4" s="2">
        <v>1</v>
      </c>
      <c r="J4" s="2">
        <v>1</v>
      </c>
      <c r="K4" s="2">
        <f ca="1">IF(T_Nucleus[[#This Row],[On/Off]]=1,RAND()/IF(T_Nucleus[[#This Row],[Weighting]]="",1,T_Nucleus[[#This Row],[Weighting]]),"")</f>
        <v>0.85251948214581574</v>
      </c>
      <c r="L4" s="2" t="str" cm="1">
        <f t="array" aca="1" ref="L4" ca="1">IFERROR(INDEX(T_Nucleus[Nucleus],MATCH(1,(T_Nucleus[Random '#]=MIN(T_Nucleus[Random '#]))*1,0)),"")</f>
        <v>i</v>
      </c>
      <c r="N4" s="17" t="s">
        <v>0</v>
      </c>
      <c r="O4" s="2">
        <v>1</v>
      </c>
      <c r="P4" s="2">
        <v>1</v>
      </c>
      <c r="Q4" s="2">
        <f ca="1">IF(T_Coda[[#This Row],[On/Off]]=1,RAND()/IF(T_Coda[[#This Row],[Weighting]]="",1,T_Coda[[#This Row],[Weighting]]),"")</f>
        <v>7.728190694008652E-2</v>
      </c>
      <c r="R4" s="5" t="str" cm="1">
        <f t="array" aca="1" ref="R4" ca="1">IFERROR(INDEX(T_Coda[Coda],MATCH(1,(T_Coda[Random '#]=MIN(T_Coda[Random '#]))*1,0)),"")</f>
        <v>ʕ</v>
      </c>
    </row>
    <row r="5" spans="2:55" x14ac:dyDescent="0.25">
      <c r="B5" s="17" t="s">
        <v>64</v>
      </c>
      <c r="C5" s="2">
        <v>1</v>
      </c>
      <c r="D5" s="2">
        <v>1</v>
      </c>
      <c r="E5" s="2">
        <f ca="1">IF(T_Onset[[#This Row],[On/Off]]=1,RAND()/IF(T_Onset[[#This Row],[Weighting]]="",1,T_Onset[[#This Row],[Weighting]]),"")</f>
        <v>0.61164958796723312</v>
      </c>
      <c r="F5" s="5" t="str" cm="1">
        <f t="array" aca="1" ref="F5" ca="1">IFERROR(INDEX(T_Onset[Onset],MATCH(1,(T_Onset[Random '#]=MIN(T_Onset[Random '#]))*1,0)),"")</f>
        <v>ɭ</v>
      </c>
      <c r="H5" s="20" t="s">
        <v>16</v>
      </c>
      <c r="I5" s="2">
        <v>1</v>
      </c>
      <c r="J5" s="2">
        <v>1</v>
      </c>
      <c r="K5" s="2">
        <f ca="1">IF(T_Nucleus[[#This Row],[On/Off]]=1,RAND()/IF(T_Nucleus[[#This Row],[Weighting]]="",1,T_Nucleus[[#This Row],[Weighting]]),"")</f>
        <v>0.98637711451228904</v>
      </c>
      <c r="L5" s="2" t="str" cm="1">
        <f t="array" aca="1" ref="L5" ca="1">IFERROR(INDEX(T_Nucleus[Nucleus],MATCH(1,(T_Nucleus[Random '#]=MIN(T_Nucleus[Random '#]))*1,0)),"")</f>
        <v>i</v>
      </c>
      <c r="N5" s="17" t="s">
        <v>64</v>
      </c>
      <c r="O5" s="2">
        <v>1</v>
      </c>
      <c r="P5" s="2">
        <v>1</v>
      </c>
      <c r="Q5" s="2">
        <f ca="1">IF(T_Coda[[#This Row],[On/Off]]=1,RAND()/IF(T_Coda[[#This Row],[Weighting]]="",1,T_Coda[[#This Row],[Weighting]]),"")</f>
        <v>0.29609012799174594</v>
      </c>
      <c r="R5" s="5" t="str" cm="1">
        <f t="array" aca="1" ref="R5" ca="1">IFERROR(INDEX(T_Coda[Coda],MATCH(1,(T_Coda[Random '#]=MIN(T_Coda[Random '#]))*1,0)),"")</f>
        <v>ʕ</v>
      </c>
      <c r="T5" s="38" t="s">
        <v>84</v>
      </c>
      <c r="U5" s="38"/>
      <c r="V5" s="38"/>
      <c r="W5" s="39" t="s">
        <v>85</v>
      </c>
      <c r="X5" s="40"/>
      <c r="Y5" s="41"/>
      <c r="AA5" s="30"/>
      <c r="AB5" s="30"/>
      <c r="AC5" s="30"/>
      <c r="AD5" s="30"/>
    </row>
    <row r="6" spans="2:55" x14ac:dyDescent="0.25">
      <c r="B6" s="17" t="s">
        <v>8</v>
      </c>
      <c r="C6" s="2">
        <v>1</v>
      </c>
      <c r="D6" s="2">
        <v>1</v>
      </c>
      <c r="E6" s="2">
        <f ca="1">IF(T_Onset[[#This Row],[On/Off]]=1,RAND()/IF(T_Onset[[#This Row],[Weighting]]="",1,T_Onset[[#This Row],[Weighting]]),"")</f>
        <v>1.1596782521912652E-2</v>
      </c>
      <c r="F6" s="5" t="str" cm="1">
        <f t="array" aca="1" ref="F6" ca="1">IFERROR(INDEX(T_Onset[Onset],MATCH(1,(T_Onset[Random '#]=MIN(T_Onset[Random '#]))*1,0)),"")</f>
        <v>ɭ</v>
      </c>
      <c r="H6" s="20" t="s">
        <v>5</v>
      </c>
      <c r="I6" s="2">
        <v>1</v>
      </c>
      <c r="J6" s="2">
        <v>1</v>
      </c>
      <c r="K6" s="2">
        <f ca="1">IF(T_Nucleus[[#This Row],[On/Off]]=1,RAND()/IF(T_Nucleus[[#This Row],[Weighting]]="",1,T_Nucleus[[#This Row],[Weighting]]),"")</f>
        <v>0.12352820615136606</v>
      </c>
      <c r="L6" s="2" t="str" cm="1">
        <f t="array" aca="1" ref="L6" ca="1">IFERROR(INDEX(T_Nucleus[Nucleus],MATCH(1,(T_Nucleus[Random '#]=MIN(T_Nucleus[Random '#]))*1,0)),"")</f>
        <v>i</v>
      </c>
      <c r="N6" s="17" t="s">
        <v>8</v>
      </c>
      <c r="O6" s="2">
        <v>1</v>
      </c>
      <c r="P6" s="2">
        <v>1</v>
      </c>
      <c r="Q6" s="2">
        <f ca="1">IF(T_Coda[[#This Row],[On/Off]]=1,RAND()/IF(T_Coda[[#This Row],[Weighting]]="",1,T_Coda[[#This Row],[Weighting]]),"")</f>
        <v>0.66323090609575319</v>
      </c>
      <c r="R6" s="5" t="str" cm="1">
        <f t="array" aca="1" ref="R6" ca="1">IFERROR(INDEX(T_Coda[Coda],MATCH(1,(T_Coda[Random '#]=MIN(T_Coda[Random '#]))*1,0)),"")</f>
        <v>ʕ</v>
      </c>
      <c r="T6" s="31" t="s">
        <v>80</v>
      </c>
      <c r="U6" s="32"/>
      <c r="V6" s="32"/>
      <c r="W6" s="34">
        <v>0.1</v>
      </c>
      <c r="X6" s="35"/>
      <c r="Y6" s="36"/>
      <c r="AA6" s="30"/>
      <c r="AB6" s="30"/>
      <c r="AC6" s="30"/>
      <c r="AD6" s="30"/>
    </row>
    <row r="7" spans="2:55" x14ac:dyDescent="0.25">
      <c r="B7" s="17" t="s">
        <v>65</v>
      </c>
      <c r="C7" s="2">
        <v>1</v>
      </c>
      <c r="D7" s="2">
        <v>1</v>
      </c>
      <c r="E7" s="2">
        <f ca="1">IF(T_Onset[[#This Row],[On/Off]]=1,RAND()/IF(T_Onset[[#This Row],[Weighting]]="",1,T_Onset[[#This Row],[Weighting]]),"")</f>
        <v>0.62249683628191688</v>
      </c>
      <c r="F7" s="5" t="str" cm="1">
        <f t="array" aca="1" ref="F7" ca="1">IFERROR(INDEX(T_Onset[Onset],MATCH(1,(T_Onset[Random '#]=MIN(T_Onset[Random '#]))*1,0)),"")</f>
        <v>ɭ</v>
      </c>
      <c r="H7" s="20" t="s">
        <v>17</v>
      </c>
      <c r="I7" s="2">
        <v>1</v>
      </c>
      <c r="J7" s="2">
        <v>1</v>
      </c>
      <c r="K7" s="2">
        <f ca="1">IF(T_Nucleus[[#This Row],[On/Off]]=1,RAND()/IF(T_Nucleus[[#This Row],[Weighting]]="",1,T_Nucleus[[#This Row],[Weighting]]),"")</f>
        <v>0.1655704488334564</v>
      </c>
      <c r="L7" s="2" t="str" cm="1">
        <f t="array" aca="1" ref="L7" ca="1">IFERROR(INDEX(T_Nucleus[Nucleus],MATCH(1,(T_Nucleus[Random '#]=MIN(T_Nucleus[Random '#]))*1,0)),"")</f>
        <v>i</v>
      </c>
      <c r="N7" s="17" t="s">
        <v>65</v>
      </c>
      <c r="O7" s="2">
        <v>1</v>
      </c>
      <c r="P7" s="2">
        <v>1</v>
      </c>
      <c r="Q7" s="2">
        <f ca="1">IF(T_Coda[[#This Row],[On/Off]]=1,RAND()/IF(T_Coda[[#This Row],[Weighting]]="",1,T_Coda[[#This Row],[Weighting]]),"")</f>
        <v>0.91402820847563349</v>
      </c>
      <c r="R7" s="5" t="str" cm="1">
        <f t="array" aca="1" ref="R7" ca="1">IFERROR(INDEX(T_Coda[Coda],MATCH(1,(T_Coda[Random '#]=MIN(T_Coda[Random '#]))*1,0)),"")</f>
        <v>ʕ</v>
      </c>
      <c r="T7" s="31" t="s">
        <v>81</v>
      </c>
      <c r="U7" s="32"/>
      <c r="V7" s="33"/>
      <c r="W7" s="34">
        <v>0.2</v>
      </c>
      <c r="X7" s="35"/>
      <c r="Y7" s="36"/>
      <c r="AA7" s="30"/>
      <c r="AB7" s="30"/>
      <c r="AC7" s="30"/>
      <c r="AD7" s="30"/>
    </row>
    <row r="8" spans="2:55" x14ac:dyDescent="0.25">
      <c r="B8" s="17" t="s">
        <v>30</v>
      </c>
      <c r="C8" s="2">
        <v>1</v>
      </c>
      <c r="D8" s="2">
        <v>1</v>
      </c>
      <c r="E8" s="2">
        <f ca="1">IF(T_Onset[[#This Row],[On/Off]]=1,RAND()/IF(T_Onset[[#This Row],[Weighting]]="",1,T_Onset[[#This Row],[Weighting]]),"")</f>
        <v>0.9952473638638677</v>
      </c>
      <c r="F8" s="5" t="str" cm="1">
        <f t="array" aca="1" ref="F8" ca="1">IFERROR(INDEX(T_Onset[Onset],MATCH(1,(T_Onset[Random '#]=MIN(T_Onset[Random '#]))*1,0)),"")</f>
        <v>ɭ</v>
      </c>
      <c r="H8" s="20" t="s">
        <v>21</v>
      </c>
      <c r="I8" s="2">
        <v>1</v>
      </c>
      <c r="J8" s="2">
        <v>1</v>
      </c>
      <c r="K8" s="2">
        <f ca="1">IF(T_Nucleus[[#This Row],[On/Off]]=1,RAND()/IF(T_Nucleus[[#This Row],[Weighting]]="",1,T_Nucleus[[#This Row],[Weighting]]),"")</f>
        <v>0.68921208319465765</v>
      </c>
      <c r="L8" s="2" t="str" cm="1">
        <f t="array" aca="1" ref="L8" ca="1">IFERROR(INDEX(T_Nucleus[Nucleus],MATCH(1,(T_Nucleus[Random '#]=MIN(T_Nucleus[Random '#]))*1,0)),"")</f>
        <v>i</v>
      </c>
      <c r="N8" s="17" t="s">
        <v>30</v>
      </c>
      <c r="O8" s="2">
        <v>1</v>
      </c>
      <c r="P8" s="2">
        <v>1</v>
      </c>
      <c r="Q8" s="2">
        <f ca="1">IF(T_Coda[[#This Row],[On/Off]]=1,RAND()/IF(T_Coda[[#This Row],[Weighting]]="",1,T_Coda[[#This Row],[Weighting]]),"")</f>
        <v>0.33379834170903655</v>
      </c>
      <c r="R8" s="5" t="str" cm="1">
        <f t="array" aca="1" ref="R8" ca="1">IFERROR(INDEX(T_Coda[Coda],MATCH(1,(T_Coda[Random '#]=MIN(T_Coda[Random '#]))*1,0)),"")</f>
        <v>ʕ</v>
      </c>
      <c r="T8" s="31" t="s">
        <v>82</v>
      </c>
      <c r="U8" s="32"/>
      <c r="V8" s="33"/>
      <c r="W8" s="34">
        <v>0.2</v>
      </c>
      <c r="X8" s="35"/>
      <c r="Y8" s="36"/>
      <c r="AA8" s="30"/>
      <c r="AB8" s="30"/>
      <c r="AC8" s="30"/>
      <c r="AD8" s="30"/>
    </row>
    <row r="9" spans="2:55" x14ac:dyDescent="0.25">
      <c r="B9" s="17" t="s">
        <v>4</v>
      </c>
      <c r="C9" s="2">
        <v>1</v>
      </c>
      <c r="D9" s="2">
        <v>1</v>
      </c>
      <c r="E9" s="2">
        <f ca="1">IF(T_Onset[[#This Row],[On/Off]]=1,RAND()/IF(T_Onset[[#This Row],[Weighting]]="",1,T_Onset[[#This Row],[Weighting]]),"")</f>
        <v>0.25211660908740163</v>
      </c>
      <c r="F9" s="5" t="str" cm="1">
        <f t="array" aca="1" ref="F9" ca="1">IFERROR(INDEX(T_Onset[Onset],MATCH(1,(T_Onset[Random '#]=MIN(T_Onset[Random '#]))*1,0)),"")</f>
        <v>ɭ</v>
      </c>
      <c r="H9" s="20" t="s">
        <v>28</v>
      </c>
      <c r="I9" s="2">
        <v>1</v>
      </c>
      <c r="J9" s="2">
        <v>1</v>
      </c>
      <c r="K9" s="2">
        <f ca="1">IF(T_Nucleus[[#This Row],[On/Off]]=1,RAND()/IF(T_Nucleus[[#This Row],[Weighting]]="",1,T_Nucleus[[#This Row],[Weighting]]),"")</f>
        <v>0.57749801003181855</v>
      </c>
      <c r="L9" s="2" t="str" cm="1">
        <f t="array" aca="1" ref="L9" ca="1">IFERROR(INDEX(T_Nucleus[Nucleus],MATCH(1,(T_Nucleus[Random '#]=MIN(T_Nucleus[Random '#]))*1,0)),"")</f>
        <v>i</v>
      </c>
      <c r="N9" s="17" t="s">
        <v>4</v>
      </c>
      <c r="O9" s="2">
        <v>1</v>
      </c>
      <c r="P9" s="2">
        <v>1</v>
      </c>
      <c r="Q9" s="2">
        <f ca="1">IF(T_Coda[[#This Row],[On/Off]]=1,RAND()/IF(T_Coda[[#This Row],[Weighting]]="",1,T_Coda[[#This Row],[Weighting]]),"")</f>
        <v>0.70193729460719723</v>
      </c>
      <c r="R9" s="5" t="str" cm="1">
        <f t="array" aca="1" ref="R9" ca="1">IFERROR(INDEX(T_Coda[Coda],MATCH(1,(T_Coda[Random '#]=MIN(T_Coda[Random '#]))*1,0)),"")</f>
        <v>ʕ</v>
      </c>
      <c r="T9" s="31" t="s">
        <v>83</v>
      </c>
      <c r="U9" s="32"/>
      <c r="V9" s="33"/>
      <c r="W9" s="34">
        <v>0.5</v>
      </c>
      <c r="X9" s="35"/>
      <c r="Y9" s="36"/>
      <c r="AA9" s="30"/>
      <c r="AB9" s="30"/>
      <c r="AC9" s="30"/>
      <c r="AD9" s="30"/>
    </row>
    <row r="10" spans="2:55" ht="15.75" thickBot="1" x14ac:dyDescent="0.3">
      <c r="B10" s="17" t="s">
        <v>37</v>
      </c>
      <c r="C10" s="2">
        <v>1</v>
      </c>
      <c r="D10" s="2">
        <v>1</v>
      </c>
      <c r="E10" s="2">
        <f ca="1">IF(T_Onset[[#This Row],[On/Off]]=1,RAND()/IF(T_Onset[[#This Row],[Weighting]]="",1,T_Onset[[#This Row],[Weighting]]),"")</f>
        <v>0.6429588099791318</v>
      </c>
      <c r="F10" s="5" t="str" cm="1">
        <f t="array" aca="1" ref="F10" ca="1">IFERROR(INDEX(T_Onset[Onset],MATCH(1,(T_Onset[Random '#]=MIN(T_Onset[Random '#]))*1,0)),"")</f>
        <v>ɭ</v>
      </c>
      <c r="H10" s="20" t="s">
        <v>1</v>
      </c>
      <c r="I10" s="2">
        <v>1</v>
      </c>
      <c r="J10" s="2">
        <v>1</v>
      </c>
      <c r="K10" s="2">
        <f ca="1">IF(T_Nucleus[[#This Row],[On/Off]]=1,RAND()/IF(T_Nucleus[[#This Row],[Weighting]]="",1,T_Nucleus[[#This Row],[Weighting]]),"")</f>
        <v>0.18620069252374261</v>
      </c>
      <c r="L10" s="2" t="str" cm="1">
        <f t="array" aca="1" ref="L10" ca="1">IFERROR(INDEX(T_Nucleus[Nucleus],MATCH(1,(T_Nucleus[Random '#]=MIN(T_Nucleus[Random '#]))*1,0)),"")</f>
        <v>i</v>
      </c>
      <c r="N10" s="17" t="s">
        <v>37</v>
      </c>
      <c r="O10" s="2">
        <v>1</v>
      </c>
      <c r="P10" s="2">
        <v>1</v>
      </c>
      <c r="Q10" s="2">
        <f ca="1">IF(T_Coda[[#This Row],[On/Off]]=1,RAND()/IF(T_Coda[[#This Row],[Weighting]]="",1,T_Coda[[#This Row],[Weighting]]),"")</f>
        <v>2.4871443908476065E-2</v>
      </c>
      <c r="R10" s="5" t="str" cm="1">
        <f t="array" aca="1" ref="R10" ca="1">IFERROR(INDEX(T_Coda[Coda],MATCH(1,(T_Coda[Random '#]=MIN(T_Coda[Random '#]))*1,0)),"")</f>
        <v>ʕ</v>
      </c>
    </row>
    <row r="11" spans="2:55" x14ac:dyDescent="0.25">
      <c r="B11" s="17" t="s">
        <v>39</v>
      </c>
      <c r="C11" s="2">
        <v>1</v>
      </c>
      <c r="D11" s="2">
        <v>1</v>
      </c>
      <c r="E11" s="2">
        <f ca="1">IF(T_Onset[[#This Row],[On/Off]]=1,RAND()/IF(T_Onset[[#This Row],[Weighting]]="",1,T_Onset[[#This Row],[Weighting]]),"")</f>
        <v>0.41152638539065789</v>
      </c>
      <c r="F11" s="5" t="str" cm="1">
        <f t="array" aca="1" ref="F11" ca="1">IFERROR(INDEX(T_Onset[Onset],MATCH(1,(T_Onset[Random '#]=MIN(T_Onset[Random '#]))*1,0)),"")</f>
        <v>ɭ</v>
      </c>
      <c r="H11" s="20" t="s">
        <v>3</v>
      </c>
      <c r="I11" s="2">
        <v>1</v>
      </c>
      <c r="J11" s="2">
        <v>1</v>
      </c>
      <c r="K11" s="2">
        <f ca="1">IF(T_Nucleus[[#This Row],[On/Off]]=1,RAND()/IF(T_Nucleus[[#This Row],[Weighting]]="",1,T_Nucleus[[#This Row],[Weighting]]),"")</f>
        <v>0.31286111098613112</v>
      </c>
      <c r="L11" s="2" t="str" cm="1">
        <f t="array" aca="1" ref="L11" ca="1">IFERROR(INDEX(T_Nucleus[Nucleus],MATCH(1,(T_Nucleus[Random '#]=MIN(T_Nucleus[Random '#]))*1,0)),"")</f>
        <v>i</v>
      </c>
      <c r="N11" s="17" t="s">
        <v>39</v>
      </c>
      <c r="O11" s="2">
        <v>1</v>
      </c>
      <c r="P11" s="2">
        <v>1</v>
      </c>
      <c r="Q11" s="2">
        <f ca="1">IF(T_Coda[[#This Row],[On/Off]]=1,RAND()/IF(T_Coda[[#This Row],[Weighting]]="",1,T_Coda[[#This Row],[Weighting]]),"")</f>
        <v>0.14403046281626719</v>
      </c>
      <c r="R11" s="5" t="str" cm="1">
        <f t="array" aca="1" ref="R11" ca="1">IFERROR(INDEX(T_Coda[Coda],MATCH(1,(T_Coda[Random '#]=MIN(T_Coda[Random '#]))*1,0)),"")</f>
        <v>ʕ</v>
      </c>
      <c r="T11" s="21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3"/>
    </row>
    <row r="12" spans="2:55" x14ac:dyDescent="0.25">
      <c r="B12" s="17" t="s">
        <v>34</v>
      </c>
      <c r="C12" s="2">
        <v>1</v>
      </c>
      <c r="D12" s="2">
        <v>1</v>
      </c>
      <c r="E12" s="2">
        <f ca="1">IF(T_Onset[[#This Row],[On/Off]]=1,RAND()/IF(T_Onset[[#This Row],[Weighting]]="",1,T_Onset[[#This Row],[Weighting]]),"")</f>
        <v>0.31484661587169915</v>
      </c>
      <c r="F12" s="5" t="str" cm="1">
        <f t="array" aca="1" ref="F12" ca="1">IFERROR(INDEX(T_Onset[Onset],MATCH(1,(T_Onset[Random '#]=MIN(T_Onset[Random '#]))*1,0)),"")</f>
        <v>ɭ</v>
      </c>
      <c r="H12" s="20" t="s">
        <v>11</v>
      </c>
      <c r="I12" s="2">
        <v>1</v>
      </c>
      <c r="J12" s="2">
        <v>1</v>
      </c>
      <c r="K12" s="2">
        <f ca="1">IF(T_Nucleus[[#This Row],[On/Off]]=1,RAND()/IF(T_Nucleus[[#This Row],[Weighting]]="",1,T_Nucleus[[#This Row],[Weighting]]),"")</f>
        <v>0.21943498943757289</v>
      </c>
      <c r="L12" s="2" t="str" cm="1">
        <f t="array" aca="1" ref="L12" ca="1">IFERROR(INDEX(T_Nucleus[Nucleus],MATCH(1,(T_Nucleus[Random '#]=MIN(T_Nucleus[Random '#]))*1,0)),"")</f>
        <v>i</v>
      </c>
      <c r="N12" s="17" t="s">
        <v>34</v>
      </c>
      <c r="O12" s="2">
        <v>1</v>
      </c>
      <c r="P12" s="2">
        <v>1</v>
      </c>
      <c r="Q12" s="2">
        <f ca="1">IF(T_Coda[[#This Row],[On/Off]]=1,RAND()/IF(T_Coda[[#This Row],[Weighting]]="",1,T_Coda[[#This Row],[Weighting]]),"")</f>
        <v>0.13688083782130944</v>
      </c>
      <c r="R12" s="5" t="str" cm="1">
        <f t="array" aca="1" ref="R12" ca="1">IFERROR(INDEX(T_Coda[Coda],MATCH(1,(T_Coda[Random '#]=MIN(T_Coda[Random '#]))*1,0)),"")</f>
        <v>ʕ</v>
      </c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6"/>
    </row>
    <row r="13" spans="2:55" x14ac:dyDescent="0.25">
      <c r="B13" s="17" t="s">
        <v>55</v>
      </c>
      <c r="C13" s="2">
        <v>1</v>
      </c>
      <c r="D13" s="2">
        <v>1</v>
      </c>
      <c r="E13" s="2">
        <f ca="1">IF(T_Onset[[#This Row],[On/Off]]=1,RAND()/IF(T_Onset[[#This Row],[Weighting]]="",1,T_Onset[[#This Row],[Weighting]]),"")</f>
        <v>5.8395521348341584E-2</v>
      </c>
      <c r="F13" s="5" t="str" cm="1">
        <f t="array" aca="1" ref="F13" ca="1">IFERROR(INDEX(T_Onset[Onset],MATCH(1,(T_Onset[Random '#]=MIN(T_Onset[Random '#]))*1,0)),"")</f>
        <v>ɭ</v>
      </c>
      <c r="H13" s="20" t="s">
        <v>26</v>
      </c>
      <c r="I13" s="2">
        <v>1</v>
      </c>
      <c r="J13" s="2">
        <v>1</v>
      </c>
      <c r="K13" s="2">
        <f ca="1">IF(T_Nucleus[[#This Row],[On/Off]]=1,RAND()/IF(T_Nucleus[[#This Row],[Weighting]]="",1,T_Nucleus[[#This Row],[Weighting]]),"")</f>
        <v>0.75536429578966013</v>
      </c>
      <c r="L13" s="2" t="str" cm="1">
        <f t="array" aca="1" ref="L13" ca="1">IFERROR(INDEX(T_Nucleus[Nucleus],MATCH(1,(T_Nucleus[Random '#]=MIN(T_Nucleus[Random '#]))*1,0)),"")</f>
        <v>i</v>
      </c>
      <c r="N13" s="17" t="s">
        <v>55</v>
      </c>
      <c r="O13" s="2">
        <v>1</v>
      </c>
      <c r="P13" s="2">
        <v>1</v>
      </c>
      <c r="Q13" s="2">
        <f ca="1">IF(T_Coda[[#This Row],[On/Off]]=1,RAND()/IF(T_Coda[[#This Row],[Weighting]]="",1,T_Coda[[#This Row],[Weighting]]),"")</f>
        <v>0.9147101660161252</v>
      </c>
      <c r="R13" s="5" t="str" cm="1">
        <f t="array" aca="1" ref="R13" ca="1">IFERROR(INDEX(T_Coda[Coda],MATCH(1,(T_Coda[Random '#]=MIN(T_Coda[Random '#]))*1,0)),"")</f>
        <v>ʕ</v>
      </c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6"/>
    </row>
    <row r="14" spans="2:55" x14ac:dyDescent="0.25">
      <c r="B14" s="17" t="s">
        <v>32</v>
      </c>
      <c r="C14" s="2">
        <v>1</v>
      </c>
      <c r="D14" s="2">
        <v>1</v>
      </c>
      <c r="E14" s="2">
        <f ca="1">IF(T_Onset[[#This Row],[On/Off]]=1,RAND()/IF(T_Onset[[#This Row],[Weighting]]="",1,T_Onset[[#This Row],[Weighting]]),"")</f>
        <v>0.33310143321819941</v>
      </c>
      <c r="F14" s="5" t="str" cm="1">
        <f t="array" aca="1" ref="F14" ca="1">IFERROR(INDEX(T_Onset[Onset],MATCH(1,(T_Onset[Random '#]=MIN(T_Onset[Random '#]))*1,0)),"")</f>
        <v>ɭ</v>
      </c>
      <c r="H14" s="20" t="s">
        <v>25</v>
      </c>
      <c r="I14" s="2">
        <v>1</v>
      </c>
      <c r="J14" s="2">
        <v>1</v>
      </c>
      <c r="K14" s="2">
        <f ca="1">IF(T_Nucleus[[#This Row],[On/Off]]=1,RAND()/IF(T_Nucleus[[#This Row],[Weighting]]="",1,T_Nucleus[[#This Row],[Weighting]]),"")</f>
        <v>7.4626877738054542E-2</v>
      </c>
      <c r="L14" s="2" t="str" cm="1">
        <f t="array" aca="1" ref="L14" ca="1">IFERROR(INDEX(T_Nucleus[Nucleus],MATCH(1,(T_Nucleus[Random '#]=MIN(T_Nucleus[Random '#]))*1,0)),"")</f>
        <v>i</v>
      </c>
      <c r="N14" s="17" t="s">
        <v>32</v>
      </c>
      <c r="O14" s="2">
        <v>1</v>
      </c>
      <c r="P14" s="2">
        <v>1</v>
      </c>
      <c r="Q14" s="2">
        <f ca="1">IF(T_Coda[[#This Row],[On/Off]]=1,RAND()/IF(T_Coda[[#This Row],[Weighting]]="",1,T_Coda[[#This Row],[Weighting]]),"")</f>
        <v>0.89906398756547923</v>
      </c>
      <c r="R14" s="5" t="str" cm="1">
        <f t="array" aca="1" ref="R14" ca="1">IFERROR(INDEX(T_Coda[Coda],MATCH(1,(T_Coda[Random '#]=MIN(T_Coda[Random '#]))*1,0)),"")</f>
        <v>ʕ</v>
      </c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6"/>
    </row>
    <row r="15" spans="2:55" x14ac:dyDescent="0.25">
      <c r="B15" s="17" t="s">
        <v>74</v>
      </c>
      <c r="C15" s="2">
        <v>1</v>
      </c>
      <c r="D15" s="2">
        <v>1</v>
      </c>
      <c r="E15" s="2">
        <f ca="1">IF(T_Onset[[#This Row],[On/Off]]=1,RAND()/IF(T_Onset[[#This Row],[Weighting]]="",1,T_Onset[[#This Row],[Weighting]]),"")</f>
        <v>9.5641632108566577E-2</v>
      </c>
      <c r="F15" s="5" t="str" cm="1">
        <f t="array" aca="1" ref="F15" ca="1">IFERROR(INDEX(T_Onset[Onset],MATCH(1,(T_Onset[Random '#]=MIN(T_Onset[Random '#]))*1,0)),"")</f>
        <v>ɭ</v>
      </c>
      <c r="H15" s="20" t="s">
        <v>7</v>
      </c>
      <c r="I15" s="2">
        <v>1</v>
      </c>
      <c r="J15" s="2">
        <v>1</v>
      </c>
      <c r="K15" s="2">
        <f ca="1">IF(T_Nucleus[[#This Row],[On/Off]]=1,RAND()/IF(T_Nucleus[[#This Row],[Weighting]]="",1,T_Nucleus[[#This Row],[Weighting]]),"")</f>
        <v>0.20208832122014286</v>
      </c>
      <c r="L15" s="2" t="str" cm="1">
        <f t="array" aca="1" ref="L15" ca="1">IFERROR(INDEX(T_Nucleus[Nucleus],MATCH(1,(T_Nucleus[Random '#]=MIN(T_Nucleus[Random '#]))*1,0)),"")</f>
        <v>i</v>
      </c>
      <c r="N15" s="17" t="s">
        <v>74</v>
      </c>
      <c r="O15" s="2">
        <v>1</v>
      </c>
      <c r="P15" s="2">
        <v>1</v>
      </c>
      <c r="Q15" s="2">
        <f ca="1">IF(T_Coda[[#This Row],[On/Off]]=1,RAND()/IF(T_Coda[[#This Row],[Weighting]]="",1,T_Coda[[#This Row],[Weighting]]),"")</f>
        <v>0.80596229466499925</v>
      </c>
      <c r="R15" s="5" t="str" cm="1">
        <f t="array" aca="1" ref="R15" ca="1">IFERROR(INDEX(T_Coda[Coda],MATCH(1,(T_Coda[Random '#]=MIN(T_Coda[Random '#]))*1,0)),"")</f>
        <v>ʕ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6"/>
    </row>
    <row r="16" spans="2:55" x14ac:dyDescent="0.25">
      <c r="B16" s="17" t="s">
        <v>45</v>
      </c>
      <c r="C16" s="2">
        <v>1</v>
      </c>
      <c r="D16" s="2">
        <v>1</v>
      </c>
      <c r="E16" s="2">
        <f ca="1">IF(T_Onset[[#This Row],[On/Off]]=1,RAND()/IF(T_Onset[[#This Row],[Weighting]]="",1,T_Onset[[#This Row],[Weighting]]),"")</f>
        <v>0.28534263143544936</v>
      </c>
      <c r="F16" s="5" t="str" cm="1">
        <f t="array" aca="1" ref="F16" ca="1">IFERROR(INDEX(T_Onset[Onset],MATCH(1,(T_Onset[Random '#]=MIN(T_Onset[Random '#]))*1,0)),"")</f>
        <v>ɭ</v>
      </c>
      <c r="H16" s="20" t="s">
        <v>19</v>
      </c>
      <c r="I16" s="2">
        <v>1</v>
      </c>
      <c r="J16" s="2">
        <v>1</v>
      </c>
      <c r="K16" s="2">
        <f ca="1">IF(T_Nucleus[[#This Row],[On/Off]]=1,RAND()/IF(T_Nucleus[[#This Row],[Weighting]]="",1,T_Nucleus[[#This Row],[Weighting]]),"")</f>
        <v>0.11132175438011982</v>
      </c>
      <c r="L16" s="2" t="str" cm="1">
        <f t="array" aca="1" ref="L16" ca="1">IFERROR(INDEX(T_Nucleus[Nucleus],MATCH(1,(T_Nucleus[Random '#]=MIN(T_Nucleus[Random '#]))*1,0)),"")</f>
        <v>i</v>
      </c>
      <c r="N16" s="17" t="s">
        <v>45</v>
      </c>
      <c r="O16" s="2">
        <v>1</v>
      </c>
      <c r="P16" s="2">
        <v>1</v>
      </c>
      <c r="Q16" s="2">
        <f ca="1">IF(T_Coda[[#This Row],[On/Off]]=1,RAND()/IF(T_Coda[[#This Row],[Weighting]]="",1,T_Coda[[#This Row],[Weighting]]),"")</f>
        <v>0.27702943339451691</v>
      </c>
      <c r="R16" s="5" t="str" cm="1">
        <f t="array" aca="1" ref="R16" ca="1">IFERROR(INDEX(T_Coda[Coda],MATCH(1,(T_Coda[Random '#]=MIN(T_Coda[Random '#]))*1,0)),"")</f>
        <v>ʕ</v>
      </c>
      <c r="T16" s="24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6"/>
    </row>
    <row r="17" spans="2:55" x14ac:dyDescent="0.25">
      <c r="B17" s="17" t="s">
        <v>46</v>
      </c>
      <c r="C17" s="2">
        <v>1</v>
      </c>
      <c r="D17" s="2">
        <v>1</v>
      </c>
      <c r="E17" s="2">
        <f ca="1">IF(T_Onset[[#This Row],[On/Off]]=1,RAND()/IF(T_Onset[[#This Row],[Weighting]]="",1,T_Onset[[#This Row],[Weighting]]),"")</f>
        <v>0.91167540112795931</v>
      </c>
      <c r="F17" s="5" t="str" cm="1">
        <f t="array" aca="1" ref="F17" ca="1">IFERROR(INDEX(T_Onset[Onset],MATCH(1,(T_Onset[Random '#]=MIN(T_Onset[Random '#]))*1,0)),"")</f>
        <v>ɭ</v>
      </c>
      <c r="H17" s="20" t="s">
        <v>15</v>
      </c>
      <c r="I17" s="2">
        <v>1</v>
      </c>
      <c r="J17" s="2">
        <v>1</v>
      </c>
      <c r="K17" s="2">
        <f ca="1">IF(T_Nucleus[[#This Row],[On/Off]]=1,RAND()/IF(T_Nucleus[[#This Row],[Weighting]]="",1,T_Nucleus[[#This Row],[Weighting]]),"")</f>
        <v>0.18995385772401818</v>
      </c>
      <c r="L17" s="2" t="str" cm="1">
        <f t="array" aca="1" ref="L17" ca="1">IFERROR(INDEX(T_Nucleus[Nucleus],MATCH(1,(T_Nucleus[Random '#]=MIN(T_Nucleus[Random '#]))*1,0)),"")</f>
        <v>i</v>
      </c>
      <c r="N17" s="17" t="s">
        <v>46</v>
      </c>
      <c r="O17" s="2">
        <v>1</v>
      </c>
      <c r="P17" s="2">
        <v>1</v>
      </c>
      <c r="Q17" s="2">
        <f ca="1">IF(T_Coda[[#This Row],[On/Off]]=1,RAND()/IF(T_Coda[[#This Row],[Weighting]]="",1,T_Coda[[#This Row],[Weighting]]),"")</f>
        <v>0.81822938942057055</v>
      </c>
      <c r="R17" s="5" t="str" cm="1">
        <f t="array" aca="1" ref="R17" ca="1">IFERROR(INDEX(T_Coda[Coda],MATCH(1,(T_Coda[Random '#]=MIN(T_Coda[Random '#]))*1,0)),"")</f>
        <v>ʕ</v>
      </c>
      <c r="T17" s="24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6"/>
    </row>
    <row r="18" spans="2:55" ht="15.75" thickBot="1" x14ac:dyDescent="0.3">
      <c r="B18" s="17" t="s">
        <v>48</v>
      </c>
      <c r="C18" s="2">
        <v>1</v>
      </c>
      <c r="D18" s="2">
        <v>1</v>
      </c>
      <c r="E18" s="2">
        <f ca="1">IF(T_Onset[[#This Row],[On/Off]]=1,RAND()/IF(T_Onset[[#This Row],[Weighting]]="",1,T_Onset[[#This Row],[Weighting]]),"")</f>
        <v>0.69081770567458567</v>
      </c>
      <c r="F18" s="5" t="str" cm="1">
        <f t="array" aca="1" ref="F18" ca="1">IFERROR(INDEX(T_Onset[Onset],MATCH(1,(T_Onset[Random '#]=MIN(T_Onset[Random '#]))*1,0)),"")</f>
        <v>ɭ</v>
      </c>
      <c r="H18" s="20" t="s">
        <v>20</v>
      </c>
      <c r="I18" s="2">
        <v>1</v>
      </c>
      <c r="J18" s="2">
        <v>1</v>
      </c>
      <c r="K18" s="2">
        <f ca="1">IF(T_Nucleus[[#This Row],[On/Off]]=1,RAND()/IF(T_Nucleus[[#This Row],[Weighting]]="",1,T_Nucleus[[#This Row],[Weighting]]),"")</f>
        <v>0.75466074154812046</v>
      </c>
      <c r="L18" s="2" t="str" cm="1">
        <f t="array" aca="1" ref="L18" ca="1">IFERROR(INDEX(T_Nucleus[Nucleus],MATCH(1,(T_Nucleus[Random '#]=MIN(T_Nucleus[Random '#]))*1,0)),"")</f>
        <v>i</v>
      </c>
      <c r="N18" s="17" t="s">
        <v>48</v>
      </c>
      <c r="O18" s="2">
        <v>1</v>
      </c>
      <c r="P18" s="2">
        <v>1</v>
      </c>
      <c r="Q18" s="2">
        <f ca="1">IF(T_Coda[[#This Row],[On/Off]]=1,RAND()/IF(T_Coda[[#This Row],[Weighting]]="",1,T_Coda[[#This Row],[Weighting]]),"")</f>
        <v>0.38370433652038816</v>
      </c>
      <c r="R18" s="5" t="str" cm="1">
        <f t="array" aca="1" ref="R18" ca="1">IFERROR(INDEX(T_Coda[Coda],MATCH(1,(T_Coda[Random '#]=MIN(T_Coda[Random '#]))*1,0)),"")</f>
        <v>ʕ</v>
      </c>
      <c r="T18" s="27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9"/>
    </row>
    <row r="19" spans="2:55" x14ac:dyDescent="0.25">
      <c r="B19" s="17" t="s">
        <v>51</v>
      </c>
      <c r="C19" s="2">
        <v>1</v>
      </c>
      <c r="D19" s="2">
        <v>1</v>
      </c>
      <c r="E19" s="2">
        <f ca="1">IF(T_Onset[[#This Row],[On/Off]]=1,RAND()/IF(T_Onset[[#This Row],[Weighting]]="",1,T_Onset[[#This Row],[Weighting]]),"")</f>
        <v>6.1155680767202014E-2</v>
      </c>
      <c r="F19" s="5" t="str" cm="1">
        <f t="array" aca="1" ref="F19" ca="1">IFERROR(INDEX(T_Onset[Onset],MATCH(1,(T_Onset[Random '#]=MIN(T_Onset[Random '#]))*1,0)),"")</f>
        <v>ɭ</v>
      </c>
      <c r="H19" s="20" t="s">
        <v>9</v>
      </c>
      <c r="I19" s="2">
        <v>1</v>
      </c>
      <c r="J19" s="2">
        <v>1</v>
      </c>
      <c r="K19" s="2">
        <f ca="1">IF(T_Nucleus[[#This Row],[On/Off]]=1,RAND()/IF(T_Nucleus[[#This Row],[Weighting]]="",1,T_Nucleus[[#This Row],[Weighting]]),"")</f>
        <v>0.12312555190269758</v>
      </c>
      <c r="L19" s="2" t="str" cm="1">
        <f t="array" aca="1" ref="L19" ca="1">IFERROR(INDEX(T_Nucleus[Nucleus],MATCH(1,(T_Nucleus[Random '#]=MIN(T_Nucleus[Random '#]))*1,0)),"")</f>
        <v>i</v>
      </c>
      <c r="N19" s="17" t="s">
        <v>51</v>
      </c>
      <c r="O19" s="2">
        <v>1</v>
      </c>
      <c r="P19" s="2">
        <v>1</v>
      </c>
      <c r="Q19" s="2">
        <f ca="1">IF(T_Coda[[#This Row],[On/Off]]=1,RAND()/IF(T_Coda[[#This Row],[Weighting]]="",1,T_Coda[[#This Row],[Weighting]]),"")</f>
        <v>3.0894894703164977E-2</v>
      </c>
      <c r="R19" s="5" t="str" cm="1">
        <f t="array" aca="1" ref="R19" ca="1">IFERROR(INDEX(T_Coda[Coda],MATCH(1,(T_Coda[Random '#]=MIN(T_Coda[Random '#]))*1,0)),"")</f>
        <v>ʕ</v>
      </c>
      <c r="AB19" s="3"/>
    </row>
    <row r="20" spans="2:55" x14ac:dyDescent="0.25">
      <c r="B20" s="17" t="s">
        <v>50</v>
      </c>
      <c r="C20" s="2">
        <v>1</v>
      </c>
      <c r="D20" s="2">
        <v>1</v>
      </c>
      <c r="E20" s="2">
        <f ca="1">IF(T_Onset[[#This Row],[On/Off]]=1,RAND()/IF(T_Onset[[#This Row],[Weighting]]="",1,T_Onset[[#This Row],[Weighting]]),"")</f>
        <v>0.75334802731123829</v>
      </c>
      <c r="F20" s="5" t="str" cm="1">
        <f t="array" aca="1" ref="F20" ca="1">IFERROR(INDEX(T_Onset[Onset],MATCH(1,(T_Onset[Random '#]=MIN(T_Onset[Random '#]))*1,0)),"")</f>
        <v>ɭ</v>
      </c>
      <c r="H20" s="20" t="s">
        <v>18</v>
      </c>
      <c r="I20" s="2">
        <v>1</v>
      </c>
      <c r="J20" s="2">
        <v>1</v>
      </c>
      <c r="K20" s="2">
        <f ca="1">IF(T_Nucleus[[#This Row],[On/Off]]=1,RAND()/IF(T_Nucleus[[#This Row],[Weighting]]="",1,T_Nucleus[[#This Row],[Weighting]]),"")</f>
        <v>0.21059943427413241</v>
      </c>
      <c r="L20" s="2" t="str" cm="1">
        <f t="array" aca="1" ref="L20" ca="1">IFERROR(INDEX(T_Nucleus[Nucleus],MATCH(1,(T_Nucleus[Random '#]=MIN(T_Nucleus[Random '#]))*1,0)),"")</f>
        <v>i</v>
      </c>
      <c r="N20" s="17" t="s">
        <v>50</v>
      </c>
      <c r="O20" s="2">
        <v>1</v>
      </c>
      <c r="P20" s="2">
        <v>1</v>
      </c>
      <c r="Q20" s="2">
        <f ca="1">IF(T_Coda[[#This Row],[On/Off]]=1,RAND()/IF(T_Coda[[#This Row],[Weighting]]="",1,T_Coda[[#This Row],[Weighting]]),"")</f>
        <v>0.58538811175455041</v>
      </c>
      <c r="R20" s="5" t="str" cm="1">
        <f t="array" aca="1" ref="R20" ca="1">IFERROR(INDEX(T_Coda[Coda],MATCH(1,(T_Coda[Random '#]=MIN(T_Coda[Random '#]))*1,0)),"")</f>
        <v>ʕ</v>
      </c>
      <c r="AB20" s="3"/>
    </row>
    <row r="21" spans="2:55" x14ac:dyDescent="0.25">
      <c r="B21" s="17" t="s">
        <v>52</v>
      </c>
      <c r="C21" s="2">
        <v>1</v>
      </c>
      <c r="D21" s="2">
        <v>1</v>
      </c>
      <c r="E21" s="2">
        <f ca="1">IF(T_Onset[[#This Row],[On/Off]]=1,RAND()/IF(T_Onset[[#This Row],[Weighting]]="",1,T_Onset[[#This Row],[Weighting]]),"")</f>
        <v>0.8151465789028679</v>
      </c>
      <c r="F21" s="5" t="str" cm="1">
        <f t="array" aca="1" ref="F21" ca="1">IFERROR(INDEX(T_Onset[Onset],MATCH(1,(T_Onset[Random '#]=MIN(T_Onset[Random '#]))*1,0)),"")</f>
        <v>ɭ</v>
      </c>
      <c r="H21" s="20" t="s">
        <v>24</v>
      </c>
      <c r="I21" s="2">
        <v>1</v>
      </c>
      <c r="J21" s="2">
        <v>1</v>
      </c>
      <c r="K21" s="2">
        <f ca="1">IF(T_Nucleus[[#This Row],[On/Off]]=1,RAND()/IF(T_Nucleus[[#This Row],[Weighting]]="",1,T_Nucleus[[#This Row],[Weighting]]),"")</f>
        <v>0.22367721074119074</v>
      </c>
      <c r="L21" s="2" t="str" cm="1">
        <f t="array" aca="1" ref="L21" ca="1">IFERROR(INDEX(T_Nucleus[Nucleus],MATCH(1,(T_Nucleus[Random '#]=MIN(T_Nucleus[Random '#]))*1,0)),"")</f>
        <v>i</v>
      </c>
      <c r="N21" s="17" t="s">
        <v>52</v>
      </c>
      <c r="O21" s="2">
        <v>1</v>
      </c>
      <c r="P21" s="2">
        <v>1</v>
      </c>
      <c r="Q21" s="2">
        <f ca="1">IF(T_Coda[[#This Row],[On/Off]]=1,RAND()/IF(T_Coda[[#This Row],[Weighting]]="",1,T_Coda[[#This Row],[Weighting]]),"")</f>
        <v>0.52628331270066453</v>
      </c>
      <c r="R21" s="5" t="str" cm="1">
        <f t="array" aca="1" ref="R21" ca="1">IFERROR(INDEX(T_Coda[Coda],MATCH(1,(T_Coda[Random '#]=MIN(T_Coda[Random '#]))*1,0)),"")</f>
        <v>ʕ</v>
      </c>
      <c r="AB21" s="3"/>
    </row>
    <row r="22" spans="2:55" x14ac:dyDescent="0.25">
      <c r="B22" s="17" t="s">
        <v>49</v>
      </c>
      <c r="C22" s="2">
        <v>1</v>
      </c>
      <c r="D22" s="2">
        <v>1</v>
      </c>
      <c r="E22" s="2">
        <f ca="1">IF(T_Onset[[#This Row],[On/Off]]=1,RAND()/IF(T_Onset[[#This Row],[Weighting]]="",1,T_Onset[[#This Row],[Weighting]]),"")</f>
        <v>0.47805363654471633</v>
      </c>
      <c r="F22" s="5" t="str" cm="1">
        <f t="array" aca="1" ref="F22" ca="1">IFERROR(INDEX(T_Onset[Onset],MATCH(1,(T_Onset[Random '#]=MIN(T_Onset[Random '#]))*1,0)),"")</f>
        <v>ɭ</v>
      </c>
      <c r="H22" s="20" t="s">
        <v>27</v>
      </c>
      <c r="I22" s="2">
        <v>1</v>
      </c>
      <c r="J22" s="2">
        <v>1</v>
      </c>
      <c r="K22" s="2">
        <f ca="1">IF(T_Nucleus[[#This Row],[On/Off]]=1,RAND()/IF(T_Nucleus[[#This Row],[Weighting]]="",1,T_Nucleus[[#This Row],[Weighting]]),"")</f>
        <v>0.23100138320328689</v>
      </c>
      <c r="L22" s="2" t="str" cm="1">
        <f t="array" aca="1" ref="L22" ca="1">IFERROR(INDEX(T_Nucleus[Nucleus],MATCH(1,(T_Nucleus[Random '#]=MIN(T_Nucleus[Random '#]))*1,0)),"")</f>
        <v>i</v>
      </c>
      <c r="N22" s="17" t="s">
        <v>49</v>
      </c>
      <c r="O22" s="2">
        <v>1</v>
      </c>
      <c r="P22" s="2">
        <v>1</v>
      </c>
      <c r="Q22" s="2">
        <f ca="1">IF(T_Coda[[#This Row],[On/Off]]=1,RAND()/IF(T_Coda[[#This Row],[Weighting]]="",1,T_Coda[[#This Row],[Weighting]]),"")</f>
        <v>0.57653268225811161</v>
      </c>
      <c r="R22" s="5" t="str" cm="1">
        <f t="array" aca="1" ref="R22" ca="1">IFERROR(INDEX(T_Coda[Coda],MATCH(1,(T_Coda[Random '#]=MIN(T_Coda[Random '#]))*1,0)),"")</f>
        <v>ʕ</v>
      </c>
    </row>
    <row r="23" spans="2:55" x14ac:dyDescent="0.25">
      <c r="B23" s="17" t="s">
        <v>2</v>
      </c>
      <c r="C23" s="2">
        <v>1</v>
      </c>
      <c r="D23" s="2">
        <v>1</v>
      </c>
      <c r="E23" s="2">
        <f ca="1">IF(T_Onset[[#This Row],[On/Off]]=1,RAND()/IF(T_Onset[[#This Row],[Weighting]]="",1,T_Onset[[#This Row],[Weighting]]),"")</f>
        <v>0.64866956651300178</v>
      </c>
      <c r="F23" s="5" t="str" cm="1">
        <f t="array" aca="1" ref="F23" ca="1">IFERROR(INDEX(T_Onset[Onset],MATCH(1,(T_Onset[Random '#]=MIN(T_Onset[Random '#]))*1,0)),"")</f>
        <v>ɭ</v>
      </c>
      <c r="N23" s="17" t="s">
        <v>2</v>
      </c>
      <c r="O23" s="2">
        <v>1</v>
      </c>
      <c r="P23" s="2">
        <v>1</v>
      </c>
      <c r="Q23" s="2">
        <f ca="1">IF(T_Coda[[#This Row],[On/Off]]=1,RAND()/IF(T_Coda[[#This Row],[Weighting]]="",1,T_Coda[[#This Row],[Weighting]]),"")</f>
        <v>0.65936960877021811</v>
      </c>
      <c r="R23" s="5" t="str" cm="1">
        <f t="array" aca="1" ref="R23" ca="1">IFERROR(INDEX(T_Coda[Coda],MATCH(1,(T_Coda[Random '#]=MIN(T_Coda[Random '#]))*1,0)),"")</f>
        <v>ʕ</v>
      </c>
    </row>
    <row r="24" spans="2:55" x14ac:dyDescent="0.25">
      <c r="B24" s="17" t="s">
        <v>56</v>
      </c>
      <c r="C24" s="2">
        <v>1</v>
      </c>
      <c r="D24" s="2">
        <v>1</v>
      </c>
      <c r="E24" s="2">
        <f ca="1">IF(T_Onset[[#This Row],[On/Off]]=1,RAND()/IF(T_Onset[[#This Row],[Weighting]]="",1,T_Onset[[#This Row],[Weighting]]),"")</f>
        <v>0.88112408705713285</v>
      </c>
      <c r="F24" s="5" t="str" cm="1">
        <f t="array" aca="1" ref="F24" ca="1">IFERROR(INDEX(T_Onset[Onset],MATCH(1,(T_Onset[Random '#]=MIN(T_Onset[Random '#]))*1,0)),"")</f>
        <v>ɭ</v>
      </c>
      <c r="N24" s="17" t="s">
        <v>56</v>
      </c>
      <c r="O24" s="2">
        <v>1</v>
      </c>
      <c r="P24" s="2">
        <v>1</v>
      </c>
      <c r="Q24" s="2">
        <f ca="1">IF(T_Coda[[#This Row],[On/Off]]=1,RAND()/IF(T_Coda[[#This Row],[Weighting]]="",1,T_Coda[[#This Row],[Weighting]]),"")</f>
        <v>0.98397690470347443</v>
      </c>
      <c r="R24" s="5" t="str" cm="1">
        <f t="array" aca="1" ref="R24" ca="1">IFERROR(INDEX(T_Coda[Coda],MATCH(1,(T_Coda[Random '#]=MIN(T_Coda[Random '#]))*1,0)),"")</f>
        <v>ʕ</v>
      </c>
    </row>
    <row r="25" spans="2:55" x14ac:dyDescent="0.25">
      <c r="B25" s="17" t="s">
        <v>57</v>
      </c>
      <c r="C25" s="2">
        <v>1</v>
      </c>
      <c r="D25" s="2">
        <v>1</v>
      </c>
      <c r="E25" s="2">
        <f ca="1">IF(T_Onset[[#This Row],[On/Off]]=1,RAND()/IF(T_Onset[[#This Row],[Weighting]]="",1,T_Onset[[#This Row],[Weighting]]),"")</f>
        <v>0.2889852817717028</v>
      </c>
      <c r="F25" s="5" t="str" cm="1">
        <f t="array" aca="1" ref="F25" ca="1">IFERROR(INDEX(T_Onset[Onset],MATCH(1,(T_Onset[Random '#]=MIN(T_Onset[Random '#]))*1,0)),"")</f>
        <v>ɭ</v>
      </c>
      <c r="N25" s="17" t="s">
        <v>57</v>
      </c>
      <c r="O25" s="2">
        <v>1</v>
      </c>
      <c r="P25" s="2">
        <v>1</v>
      </c>
      <c r="Q25" s="2">
        <f ca="1">IF(T_Coda[[#This Row],[On/Off]]=1,RAND()/IF(T_Coda[[#This Row],[Weighting]]="",1,T_Coda[[#This Row],[Weighting]]),"")</f>
        <v>0.89212223243896049</v>
      </c>
      <c r="R25" s="5" t="str" cm="1">
        <f t="array" aca="1" ref="R25" ca="1">IFERROR(INDEX(T_Coda[Coda],MATCH(1,(T_Coda[Random '#]=MIN(T_Coda[Random '#]))*1,0)),"")</f>
        <v>ʕ</v>
      </c>
    </row>
    <row r="26" spans="2:55" x14ac:dyDescent="0.25">
      <c r="B26" s="17" t="s">
        <v>79</v>
      </c>
      <c r="C26" s="2">
        <v>1</v>
      </c>
      <c r="D26" s="2">
        <v>1</v>
      </c>
      <c r="E26" s="2">
        <f ca="1">IF(T_Onset[[#This Row],[On/Off]]=1,RAND()/IF(T_Onset[[#This Row],[Weighting]]="",1,T_Onset[[#This Row],[Weighting]]),"")</f>
        <v>5.6119360542060903E-2</v>
      </c>
      <c r="F26" s="5" t="str" cm="1">
        <f t="array" aca="1" ref="F26" ca="1">IFERROR(INDEX(T_Onset[Onset],MATCH(1,(T_Onset[Random '#]=MIN(T_Onset[Random '#]))*1,0)),"")</f>
        <v>ɭ</v>
      </c>
      <c r="N26" s="17" t="s">
        <v>79</v>
      </c>
      <c r="O26" s="2">
        <v>1</v>
      </c>
      <c r="P26" s="2">
        <v>1</v>
      </c>
      <c r="Q26" s="2">
        <f ca="1">IF(T_Coda[[#This Row],[On/Off]]=1,RAND()/IF(T_Coda[[#This Row],[Weighting]]="",1,T_Coda[[#This Row],[Weighting]]),"")</f>
        <v>0.70740712488755564</v>
      </c>
      <c r="R26" s="5" t="str" cm="1">
        <f t="array" aca="1" ref="R26" ca="1">IFERROR(INDEX(T_Coda[Coda],MATCH(1,(T_Coda[Random '#]=MIN(T_Coda[Random '#]))*1,0)),"")</f>
        <v>ʕ</v>
      </c>
    </row>
    <row r="27" spans="2:55" x14ac:dyDescent="0.25">
      <c r="B27" s="17" t="s">
        <v>86</v>
      </c>
      <c r="C27" s="2">
        <v>1</v>
      </c>
      <c r="D27" s="2">
        <v>1</v>
      </c>
      <c r="E27" s="2">
        <f ca="1">IF(T_Onset[[#This Row],[On/Off]]=1,RAND()/IF(T_Onset[[#This Row],[Weighting]]="",1,T_Onset[[#This Row],[Weighting]]),"")</f>
        <v>0.17862433321462368</v>
      </c>
      <c r="F27" s="5" t="str" cm="1">
        <f t="array" aca="1" ref="F27" ca="1">IFERROR(INDEX(T_Onset[Onset],MATCH(1,(T_Onset[Random '#]=MIN(T_Onset[Random '#]))*1,0)),"")</f>
        <v>ɭ</v>
      </c>
      <c r="N27" s="17" t="s">
        <v>86</v>
      </c>
      <c r="O27" s="2">
        <v>1</v>
      </c>
      <c r="P27" s="2">
        <v>1</v>
      </c>
      <c r="Q27" s="2">
        <f ca="1">IF(T_Coda[[#This Row],[On/Off]]=1,RAND()/IF(T_Coda[[#This Row],[Weighting]]="",1,T_Coda[[#This Row],[Weighting]]),"")</f>
        <v>0.1041847543551242</v>
      </c>
      <c r="R27" s="5" t="str" cm="1">
        <f t="array" aca="1" ref="R27" ca="1">IFERROR(INDEX(T_Coda[Coda],MATCH(1,(T_Coda[Random '#]=MIN(T_Coda[Random '#]))*1,0)),"")</f>
        <v>ʕ</v>
      </c>
    </row>
    <row r="28" spans="2:55" x14ac:dyDescent="0.25">
      <c r="B28" s="17" t="s">
        <v>58</v>
      </c>
      <c r="C28" s="2">
        <v>1</v>
      </c>
      <c r="D28" s="2">
        <v>1</v>
      </c>
      <c r="E28" s="2">
        <f ca="1">IF(T_Onset[[#This Row],[On/Off]]=1,RAND()/IF(T_Onset[[#This Row],[Weighting]]="",1,T_Onset[[#This Row],[Weighting]]),"")</f>
        <v>0.53681265718422111</v>
      </c>
      <c r="F28" s="5" t="str" cm="1">
        <f t="array" aca="1" ref="F28" ca="1">IFERROR(INDEX(T_Onset[Onset],MATCH(1,(T_Onset[Random '#]=MIN(T_Onset[Random '#]))*1,0)),"")</f>
        <v>ɭ</v>
      </c>
      <c r="N28" s="17" t="s">
        <v>58</v>
      </c>
      <c r="O28" s="2">
        <v>1</v>
      </c>
      <c r="P28" s="2">
        <v>1</v>
      </c>
      <c r="Q28" s="2">
        <f ca="1">IF(T_Coda[[#This Row],[On/Off]]=1,RAND()/IF(T_Coda[[#This Row],[Weighting]]="",1,T_Coda[[#This Row],[Weighting]]),"")</f>
        <v>0.3541988742130936</v>
      </c>
      <c r="R28" s="5" t="str" cm="1">
        <f t="array" aca="1" ref="R28" ca="1">IFERROR(INDEX(T_Coda[Coda],MATCH(1,(T_Coda[Random '#]=MIN(T_Coda[Random '#]))*1,0)),"")</f>
        <v>ʕ</v>
      </c>
    </row>
    <row r="29" spans="2:55" x14ac:dyDescent="0.25">
      <c r="B29" s="17" t="s">
        <v>54</v>
      </c>
      <c r="C29" s="2">
        <v>1</v>
      </c>
      <c r="D29" s="2">
        <v>1</v>
      </c>
      <c r="E29" s="2">
        <f ca="1">IF(T_Onset[[#This Row],[On/Off]]=1,RAND()/IF(T_Onset[[#This Row],[Weighting]]="",1,T_Onset[[#This Row],[Weighting]]),"")</f>
        <v>0.21848110062142456</v>
      </c>
      <c r="F29" s="5" t="str" cm="1">
        <f t="array" aca="1" ref="F29" ca="1">IFERROR(INDEX(T_Onset[Onset],MATCH(1,(T_Onset[Random '#]=MIN(T_Onset[Random '#]))*1,0)),"")</f>
        <v>ɭ</v>
      </c>
      <c r="N29" s="17" t="s">
        <v>54</v>
      </c>
      <c r="O29" s="2">
        <v>1</v>
      </c>
      <c r="P29" s="2">
        <v>1</v>
      </c>
      <c r="Q29" s="2">
        <f ca="1">IF(T_Coda[[#This Row],[On/Off]]=1,RAND()/IF(T_Coda[[#This Row],[Weighting]]="",1,T_Coda[[#This Row],[Weighting]]),"")</f>
        <v>0.24389236536881376</v>
      </c>
      <c r="R29" s="5" t="str" cm="1">
        <f t="array" aca="1" ref="R29" ca="1">IFERROR(INDEX(T_Coda[Coda],MATCH(1,(T_Coda[Random '#]=MIN(T_Coda[Random '#]))*1,0)),"")</f>
        <v>ʕ</v>
      </c>
    </row>
    <row r="30" spans="2:55" x14ac:dyDescent="0.25">
      <c r="B30" s="17" t="s">
        <v>76</v>
      </c>
      <c r="C30" s="2">
        <v>1</v>
      </c>
      <c r="D30" s="2">
        <v>1</v>
      </c>
      <c r="E30" s="2">
        <f ca="1">IF(T_Onset[[#This Row],[On/Off]]=1,RAND()/IF(T_Onset[[#This Row],[Weighting]]="",1,T_Onset[[#This Row],[Weighting]]),"")</f>
        <v>0.26074368232303902</v>
      </c>
      <c r="F30" s="5" t="str" cm="1">
        <f t="array" aca="1" ref="F30" ca="1">IFERROR(INDEX(T_Onset[Onset],MATCH(1,(T_Onset[Random '#]=MIN(T_Onset[Random '#]))*1,0)),"")</f>
        <v>ɭ</v>
      </c>
      <c r="N30" s="17" t="s">
        <v>76</v>
      </c>
      <c r="O30" s="2">
        <v>1</v>
      </c>
      <c r="P30" s="2">
        <v>1</v>
      </c>
      <c r="Q30" s="2">
        <f ca="1">IF(T_Coda[[#This Row],[On/Off]]=1,RAND()/IF(T_Coda[[#This Row],[Weighting]]="",1,T_Coda[[#This Row],[Weighting]]),"")</f>
        <v>0.53893775027372792</v>
      </c>
      <c r="R30" s="5" t="str" cm="1">
        <f t="array" aca="1" ref="R30" ca="1">IFERROR(INDEX(T_Coda[Coda],MATCH(1,(T_Coda[Random '#]=MIN(T_Coda[Random '#]))*1,0)),"")</f>
        <v>ʕ</v>
      </c>
    </row>
    <row r="31" spans="2:55" x14ac:dyDescent="0.25">
      <c r="B31" s="17" t="s">
        <v>31</v>
      </c>
      <c r="C31" s="2">
        <v>1</v>
      </c>
      <c r="D31" s="2">
        <v>1</v>
      </c>
      <c r="E31" s="2">
        <f ca="1">IF(T_Onset[[#This Row],[On/Off]]=1,RAND()/IF(T_Onset[[#This Row],[Weighting]]="",1,T_Onset[[#This Row],[Weighting]]),"")</f>
        <v>0.20718449709875209</v>
      </c>
      <c r="F31" s="5" t="str" cm="1">
        <f t="array" aca="1" ref="F31" ca="1">IFERROR(INDEX(T_Onset[Onset],MATCH(1,(T_Onset[Random '#]=MIN(T_Onset[Random '#]))*1,0)),"")</f>
        <v>ɭ</v>
      </c>
      <c r="N31" s="17" t="s">
        <v>31</v>
      </c>
      <c r="O31" s="2">
        <v>1</v>
      </c>
      <c r="P31" s="2">
        <v>1</v>
      </c>
      <c r="Q31" s="2">
        <f ca="1">IF(T_Coda[[#This Row],[On/Off]]=1,RAND()/IF(T_Coda[[#This Row],[Weighting]]="",1,T_Coda[[#This Row],[Weighting]]),"")</f>
        <v>0.17939448033744676</v>
      </c>
      <c r="R31" s="5" t="str" cm="1">
        <f t="array" aca="1" ref="R31" ca="1">IFERROR(INDEX(T_Coda[Coda],MATCH(1,(T_Coda[Random '#]=MIN(T_Coda[Random '#]))*1,0)),"")</f>
        <v>ʕ</v>
      </c>
    </row>
    <row r="32" spans="2:55" x14ac:dyDescent="0.25">
      <c r="B32" s="17" t="s">
        <v>66</v>
      </c>
      <c r="C32" s="2">
        <v>1</v>
      </c>
      <c r="D32" s="2">
        <v>1</v>
      </c>
      <c r="E32" s="2">
        <f ca="1">IF(T_Onset[[#This Row],[On/Off]]=1,RAND()/IF(T_Onset[[#This Row],[Weighting]]="",1,T_Onset[[#This Row],[Weighting]]),"")</f>
        <v>0.82565128011001465</v>
      </c>
      <c r="F32" s="5" t="str" cm="1">
        <f t="array" aca="1" ref="F32" ca="1">IFERROR(INDEX(T_Onset[Onset],MATCH(1,(T_Onset[Random '#]=MIN(T_Onset[Random '#]))*1,0)),"")</f>
        <v>ɭ</v>
      </c>
      <c r="N32" s="17" t="s">
        <v>66</v>
      </c>
      <c r="O32" s="2">
        <v>1</v>
      </c>
      <c r="P32" s="2">
        <v>1</v>
      </c>
      <c r="Q32" s="2">
        <f ca="1">IF(T_Coda[[#This Row],[On/Off]]=1,RAND()/IF(T_Coda[[#This Row],[Weighting]]="",1,T_Coda[[#This Row],[Weighting]]),"")</f>
        <v>0.10700576577662468</v>
      </c>
      <c r="R32" s="5" t="str" cm="1">
        <f t="array" aca="1" ref="R32" ca="1">IFERROR(INDEX(T_Coda[Coda],MATCH(1,(T_Coda[Random '#]=MIN(T_Coda[Random '#]))*1,0)),"")</f>
        <v>ʕ</v>
      </c>
    </row>
    <row r="33" spans="2:18" x14ac:dyDescent="0.25">
      <c r="B33" s="17" t="s">
        <v>77</v>
      </c>
      <c r="C33" s="2">
        <v>1</v>
      </c>
      <c r="D33" s="2">
        <v>1</v>
      </c>
      <c r="E33" s="2">
        <f ca="1">IF(T_Onset[[#This Row],[On/Off]]=1,RAND()/IF(T_Onset[[#This Row],[Weighting]]="",1,T_Onset[[#This Row],[Weighting]]),"")</f>
        <v>0.99891277731309269</v>
      </c>
      <c r="F33" s="5" t="str" cm="1">
        <f t="array" aca="1" ref="F33" ca="1">IFERROR(INDEX(T_Onset[Onset],MATCH(1,(T_Onset[Random '#]=MIN(T_Onset[Random '#]))*1,0)),"")</f>
        <v>ɭ</v>
      </c>
      <c r="N33" s="17" t="s">
        <v>77</v>
      </c>
      <c r="O33" s="2">
        <v>1</v>
      </c>
      <c r="P33" s="2">
        <v>1</v>
      </c>
      <c r="Q33" s="2">
        <f ca="1">IF(T_Coda[[#This Row],[On/Off]]=1,RAND()/IF(T_Coda[[#This Row],[Weighting]]="",1,T_Coda[[#This Row],[Weighting]]),"")</f>
        <v>0.7512552939447833</v>
      </c>
      <c r="R33" s="5" t="str" cm="1">
        <f t="array" aca="1" ref="R33" ca="1">IFERROR(INDEX(T_Coda[Coda],MATCH(1,(T_Coda[Random '#]=MIN(T_Coda[Random '#]))*1,0)),"")</f>
        <v>ʕ</v>
      </c>
    </row>
    <row r="34" spans="2:18" x14ac:dyDescent="0.25">
      <c r="B34" s="17" t="s">
        <v>10</v>
      </c>
      <c r="C34" s="2">
        <v>1</v>
      </c>
      <c r="D34" s="2">
        <v>1</v>
      </c>
      <c r="E34" s="2">
        <f ca="1">IF(T_Onset[[#This Row],[On/Off]]=1,RAND()/IF(T_Onset[[#This Row],[Weighting]]="",1,T_Onset[[#This Row],[Weighting]]),"")</f>
        <v>0.62538455817206584</v>
      </c>
      <c r="F34" s="5" t="str" cm="1">
        <f t="array" aca="1" ref="F34" ca="1">IFERROR(INDEX(T_Onset[Onset],MATCH(1,(T_Onset[Random '#]=MIN(T_Onset[Random '#]))*1,0)),"")</f>
        <v>ɭ</v>
      </c>
      <c r="N34" s="17" t="s">
        <v>10</v>
      </c>
      <c r="O34" s="2">
        <v>1</v>
      </c>
      <c r="P34" s="2">
        <v>1</v>
      </c>
      <c r="Q34" s="2">
        <f ca="1">IF(T_Coda[[#This Row],[On/Off]]=1,RAND()/IF(T_Coda[[#This Row],[Weighting]]="",1,T_Coda[[#This Row],[Weighting]]),"")</f>
        <v>0.25968154191495996</v>
      </c>
      <c r="R34" s="5" t="str" cm="1">
        <f t="array" aca="1" ref="R34" ca="1">IFERROR(INDEX(T_Coda[Coda],MATCH(1,(T_Coda[Random '#]=MIN(T_Coda[Random '#]))*1,0)),"")</f>
        <v>ʕ</v>
      </c>
    </row>
    <row r="35" spans="2:18" x14ac:dyDescent="0.25">
      <c r="B35" s="17" t="s">
        <v>13</v>
      </c>
      <c r="C35" s="2">
        <v>1</v>
      </c>
      <c r="D35" s="2">
        <v>1</v>
      </c>
      <c r="E35" s="2">
        <f ca="1">IF(T_Onset[[#This Row],[On/Off]]=1,RAND()/IF(T_Onset[[#This Row],[Weighting]]="",1,T_Onset[[#This Row],[Weighting]]),"")</f>
        <v>0.39777016025844136</v>
      </c>
      <c r="F35" s="5" t="str" cm="1">
        <f t="array" aca="1" ref="F35" ca="1">IFERROR(INDEX(T_Onset[Onset],MATCH(1,(T_Onset[Random '#]=MIN(T_Onset[Random '#]))*1,0)),"")</f>
        <v>ɭ</v>
      </c>
      <c r="N35" s="17" t="s">
        <v>13</v>
      </c>
      <c r="O35" s="2">
        <v>1</v>
      </c>
      <c r="P35" s="2">
        <v>1</v>
      </c>
      <c r="Q35" s="2">
        <f ca="1">IF(T_Coda[[#This Row],[On/Off]]=1,RAND()/IF(T_Coda[[#This Row],[Weighting]]="",1,T_Coda[[#This Row],[Weighting]]),"")</f>
        <v>0.28654982568314924</v>
      </c>
      <c r="R35" s="5" t="str" cm="1">
        <f t="array" aca="1" ref="R35" ca="1">IFERROR(INDEX(T_Coda[Coda],MATCH(1,(T_Coda[Random '#]=MIN(T_Coda[Random '#]))*1,0)),"")</f>
        <v>ʕ</v>
      </c>
    </row>
    <row r="36" spans="2:18" x14ac:dyDescent="0.25">
      <c r="B36" s="17" t="s">
        <v>71</v>
      </c>
      <c r="C36" s="2">
        <v>1</v>
      </c>
      <c r="D36" s="2">
        <v>1</v>
      </c>
      <c r="E36" s="2">
        <f ca="1">IF(T_Onset[[#This Row],[On/Off]]=1,RAND()/IF(T_Onset[[#This Row],[Weighting]]="",1,T_Onset[[#This Row],[Weighting]]),"")</f>
        <v>0.61665612278953696</v>
      </c>
      <c r="F36" s="5" t="str" cm="1">
        <f t="array" aca="1" ref="F36" ca="1">IFERROR(INDEX(T_Onset[Onset],MATCH(1,(T_Onset[Random '#]=MIN(T_Onset[Random '#]))*1,0)),"")</f>
        <v>ɭ</v>
      </c>
      <c r="N36" s="17" t="s">
        <v>71</v>
      </c>
      <c r="O36" s="2">
        <v>1</v>
      </c>
      <c r="P36" s="2">
        <v>1</v>
      </c>
      <c r="Q36" s="2">
        <f ca="1">IF(T_Coda[[#This Row],[On/Off]]=1,RAND()/IF(T_Coda[[#This Row],[Weighting]]="",1,T_Coda[[#This Row],[Weighting]]),"")</f>
        <v>9.1518640378354554E-2</v>
      </c>
      <c r="R36" s="5" t="str" cm="1">
        <f t="array" aca="1" ref="R36" ca="1">IFERROR(INDEX(T_Coda[Coda],MATCH(1,(T_Coda[Random '#]=MIN(T_Coda[Random '#]))*1,0)),"")</f>
        <v>ʕ</v>
      </c>
    </row>
    <row r="37" spans="2:18" x14ac:dyDescent="0.25">
      <c r="B37" s="17" t="s">
        <v>63</v>
      </c>
      <c r="C37" s="2">
        <v>1</v>
      </c>
      <c r="D37" s="2">
        <v>1</v>
      </c>
      <c r="E37" s="2">
        <f ca="1">IF(T_Onset[[#This Row],[On/Off]]=1,RAND()/IF(T_Onset[[#This Row],[Weighting]]="",1,T_Onset[[#This Row],[Weighting]]),"")</f>
        <v>0.31450131654148139</v>
      </c>
      <c r="F37" s="5" t="str" cm="1">
        <f t="array" aca="1" ref="F37" ca="1">IFERROR(INDEX(T_Onset[Onset],MATCH(1,(T_Onset[Random '#]=MIN(T_Onset[Random '#]))*1,0)),"")</f>
        <v>ɭ</v>
      </c>
      <c r="N37" s="17" t="s">
        <v>63</v>
      </c>
      <c r="O37" s="2">
        <v>1</v>
      </c>
      <c r="P37" s="2">
        <v>1</v>
      </c>
      <c r="Q37" s="2">
        <f ca="1">IF(T_Coda[[#This Row],[On/Off]]=1,RAND()/IF(T_Coda[[#This Row],[Weighting]]="",1,T_Coda[[#This Row],[Weighting]]),"")</f>
        <v>0.37415521274159358</v>
      </c>
      <c r="R37" s="5" t="str" cm="1">
        <f t="array" aca="1" ref="R37" ca="1">IFERROR(INDEX(T_Coda[Coda],MATCH(1,(T_Coda[Random '#]=MIN(T_Coda[Random '#]))*1,0)),"")</f>
        <v>ʕ</v>
      </c>
    </row>
    <row r="38" spans="2:18" x14ac:dyDescent="0.25">
      <c r="B38" s="17" t="s">
        <v>73</v>
      </c>
      <c r="C38" s="2">
        <v>1</v>
      </c>
      <c r="D38" s="2">
        <v>1</v>
      </c>
      <c r="E38" s="2">
        <f ca="1">IF(T_Onset[[#This Row],[On/Off]]=1,RAND()/IF(T_Onset[[#This Row],[Weighting]]="",1,T_Onset[[#This Row],[Weighting]]),"")</f>
        <v>0.99770343999712985</v>
      </c>
      <c r="F38" s="5" t="str" cm="1">
        <f t="array" aca="1" ref="F38" ca="1">IFERROR(INDEX(T_Onset[Onset],MATCH(1,(T_Onset[Random '#]=MIN(T_Onset[Random '#]))*1,0)),"")</f>
        <v>ɭ</v>
      </c>
      <c r="N38" s="17" t="s">
        <v>73</v>
      </c>
      <c r="O38" s="2">
        <v>1</v>
      </c>
      <c r="P38" s="2">
        <v>1</v>
      </c>
      <c r="Q38" s="2">
        <f ca="1">IF(T_Coda[[#This Row],[On/Off]]=1,RAND()/IF(T_Coda[[#This Row],[Weighting]]="",1,T_Coda[[#This Row],[Weighting]]),"")</f>
        <v>0.35425897787097571</v>
      </c>
      <c r="R38" s="5" t="str" cm="1">
        <f t="array" aca="1" ref="R38" ca="1">IFERROR(INDEX(T_Coda[Coda],MATCH(1,(T_Coda[Random '#]=MIN(T_Coda[Random '#]))*1,0)),"")</f>
        <v>ʕ</v>
      </c>
    </row>
    <row r="39" spans="2:18" x14ac:dyDescent="0.25">
      <c r="B39" s="17" t="s">
        <v>62</v>
      </c>
      <c r="C39" s="2">
        <v>1</v>
      </c>
      <c r="D39" s="2">
        <v>1</v>
      </c>
      <c r="E39" s="2">
        <f ca="1">IF(T_Onset[[#This Row],[On/Off]]=1,RAND()/IF(T_Onset[[#This Row],[Weighting]]="",1,T_Onset[[#This Row],[Weighting]]),"")</f>
        <v>1.321757986690919E-2</v>
      </c>
      <c r="F39" s="5" t="str" cm="1">
        <f t="array" aca="1" ref="F39" ca="1">IFERROR(INDEX(T_Onset[Onset],MATCH(1,(T_Onset[Random '#]=MIN(T_Onset[Random '#]))*1,0)),"")</f>
        <v>ɭ</v>
      </c>
      <c r="N39" s="17" t="s">
        <v>62</v>
      </c>
      <c r="O39" s="2">
        <v>1</v>
      </c>
      <c r="P39" s="2">
        <v>1</v>
      </c>
      <c r="Q39" s="2">
        <f ca="1">IF(T_Coda[[#This Row],[On/Off]]=1,RAND()/IF(T_Coda[[#This Row],[Weighting]]="",1,T_Coda[[#This Row],[Weighting]]),"")</f>
        <v>0.84206162481056879</v>
      </c>
      <c r="R39" s="5" t="str" cm="1">
        <f t="array" aca="1" ref="R39" ca="1">IFERROR(INDEX(T_Coda[Coda],MATCH(1,(T_Coda[Random '#]=MIN(T_Coda[Random '#]))*1,0)),"")</f>
        <v>ʕ</v>
      </c>
    </row>
    <row r="40" spans="2:18" x14ac:dyDescent="0.25">
      <c r="B40" s="17" t="s">
        <v>72</v>
      </c>
      <c r="C40" s="2">
        <v>1</v>
      </c>
      <c r="D40" s="2">
        <v>1</v>
      </c>
      <c r="E40" s="2">
        <f ca="1">IF(T_Onset[[#This Row],[On/Off]]=1,RAND()/IF(T_Onset[[#This Row],[Weighting]]="",1,T_Onset[[#This Row],[Weighting]]),"")</f>
        <v>0.96555662865367775</v>
      </c>
      <c r="F40" s="5" t="str" cm="1">
        <f t="array" aca="1" ref="F40" ca="1">IFERROR(INDEX(T_Onset[Onset],MATCH(1,(T_Onset[Random '#]=MIN(T_Onset[Random '#]))*1,0)),"")</f>
        <v>ɭ</v>
      </c>
      <c r="N40" s="17" t="s">
        <v>72</v>
      </c>
      <c r="O40" s="2">
        <v>1</v>
      </c>
      <c r="P40" s="2">
        <v>1</v>
      </c>
      <c r="Q40" s="2">
        <f ca="1">IF(T_Coda[[#This Row],[On/Off]]=1,RAND()/IF(T_Coda[[#This Row],[Weighting]]="",1,T_Coda[[#This Row],[Weighting]]),"")</f>
        <v>0.5824890551005486</v>
      </c>
      <c r="R40" s="5" t="str" cm="1">
        <f t="array" aca="1" ref="R40" ca="1">IFERROR(INDEX(T_Coda[Coda],MATCH(1,(T_Coda[Random '#]=MIN(T_Coda[Random '#]))*1,0)),"")</f>
        <v>ʕ</v>
      </c>
    </row>
    <row r="41" spans="2:18" x14ac:dyDescent="0.25">
      <c r="B41" s="17" t="s">
        <v>6</v>
      </c>
      <c r="C41" s="2">
        <v>1</v>
      </c>
      <c r="D41" s="2">
        <v>1</v>
      </c>
      <c r="E41" s="2">
        <f ca="1">IF(T_Onset[[#This Row],[On/Off]]=1,RAND()/IF(T_Onset[[#This Row],[Weighting]]="",1,T_Onset[[#This Row],[Weighting]]),"")</f>
        <v>0.21914871179457573</v>
      </c>
      <c r="F41" s="5" t="str" cm="1">
        <f t="array" aca="1" ref="F41" ca="1">IFERROR(INDEX(T_Onset[Onset],MATCH(1,(T_Onset[Random '#]=MIN(T_Onset[Random '#]))*1,0)),"")</f>
        <v>ɭ</v>
      </c>
      <c r="N41" s="17" t="s">
        <v>6</v>
      </c>
      <c r="O41" s="2">
        <v>1</v>
      </c>
      <c r="P41" s="2">
        <v>1</v>
      </c>
      <c r="Q41" s="2">
        <f ca="1">IF(T_Coda[[#This Row],[On/Off]]=1,RAND()/IF(T_Coda[[#This Row],[Weighting]]="",1,T_Coda[[#This Row],[Weighting]]),"")</f>
        <v>0.75357211502500654</v>
      </c>
      <c r="R41" s="5" t="str" cm="1">
        <f t="array" aca="1" ref="R41" ca="1">IFERROR(INDEX(T_Coda[Coda],MATCH(1,(T_Coda[Random '#]=MIN(T_Coda[Random '#]))*1,0)),"")</f>
        <v>ʕ</v>
      </c>
    </row>
    <row r="42" spans="2:18" x14ac:dyDescent="0.25">
      <c r="B42" s="17" t="s">
        <v>38</v>
      </c>
      <c r="C42" s="2">
        <v>1</v>
      </c>
      <c r="D42" s="2">
        <v>1</v>
      </c>
      <c r="E42" s="2">
        <f ca="1">IF(T_Onset[[#This Row],[On/Off]]=1,RAND()/IF(T_Onset[[#This Row],[Weighting]]="",1,T_Onset[[#This Row],[Weighting]]),"")</f>
        <v>0.56237330588410783</v>
      </c>
      <c r="F42" s="5" t="str" cm="1">
        <f t="array" aca="1" ref="F42" ca="1">IFERROR(INDEX(T_Onset[Onset],MATCH(1,(T_Onset[Random '#]=MIN(T_Onset[Random '#]))*1,0)),"")</f>
        <v>ɭ</v>
      </c>
      <c r="N42" s="17" t="s">
        <v>38</v>
      </c>
      <c r="O42" s="2">
        <v>1</v>
      </c>
      <c r="P42" s="2">
        <v>1</v>
      </c>
      <c r="Q42" s="2">
        <f ca="1">IF(T_Coda[[#This Row],[On/Off]]=1,RAND()/IF(T_Coda[[#This Row],[Weighting]]="",1,T_Coda[[#This Row],[Weighting]]),"")</f>
        <v>0.77662182158362192</v>
      </c>
      <c r="R42" s="5" t="str" cm="1">
        <f t="array" aca="1" ref="R42" ca="1">IFERROR(INDEX(T_Coda[Coda],MATCH(1,(T_Coda[Random '#]=MIN(T_Coda[Random '#]))*1,0)),"")</f>
        <v>ʕ</v>
      </c>
    </row>
    <row r="43" spans="2:18" x14ac:dyDescent="0.25">
      <c r="B43" s="17" t="s">
        <v>69</v>
      </c>
      <c r="C43" s="2">
        <v>1</v>
      </c>
      <c r="D43" s="2">
        <v>1</v>
      </c>
      <c r="E43" s="2">
        <f ca="1">IF(T_Onset[[#This Row],[On/Off]]=1,RAND()/IF(T_Onset[[#This Row],[Weighting]]="",1,T_Onset[[#This Row],[Weighting]]),"")</f>
        <v>0.74085229895716975</v>
      </c>
      <c r="F43" s="5" t="str" cm="1">
        <f t="array" aca="1" ref="F43" ca="1">IFERROR(INDEX(T_Onset[Onset],MATCH(1,(T_Onset[Random '#]=MIN(T_Onset[Random '#]))*1,0)),"")</f>
        <v>ɭ</v>
      </c>
      <c r="N43" s="17" t="s">
        <v>69</v>
      </c>
      <c r="O43" s="2">
        <v>1</v>
      </c>
      <c r="P43" s="2">
        <v>1</v>
      </c>
      <c r="Q43" s="2">
        <f ca="1">IF(T_Coda[[#This Row],[On/Off]]=1,RAND()/IF(T_Coda[[#This Row],[Weighting]]="",1,T_Coda[[#This Row],[Weighting]]),"")</f>
        <v>0.24478197780756283</v>
      </c>
      <c r="R43" s="5" t="str" cm="1">
        <f t="array" aca="1" ref="R43" ca="1">IFERROR(INDEX(T_Coda[Coda],MATCH(1,(T_Coda[Random '#]=MIN(T_Coda[Random '#]))*1,0)),"")</f>
        <v>ʕ</v>
      </c>
    </row>
    <row r="44" spans="2:18" x14ac:dyDescent="0.25">
      <c r="B44" s="17" t="s">
        <v>33</v>
      </c>
      <c r="C44" s="2">
        <v>1</v>
      </c>
      <c r="D44" s="2">
        <v>1</v>
      </c>
      <c r="E44" s="2">
        <f ca="1">IF(T_Onset[[#This Row],[On/Off]]=1,RAND()/IF(T_Onset[[#This Row],[Weighting]]="",1,T_Onset[[#This Row],[Weighting]]),"")</f>
        <v>0.700875677790467</v>
      </c>
      <c r="F44" s="5" t="str" cm="1">
        <f t="array" aca="1" ref="F44" ca="1">IFERROR(INDEX(T_Onset[Onset],MATCH(1,(T_Onset[Random '#]=MIN(T_Onset[Random '#]))*1,0)),"")</f>
        <v>ɭ</v>
      </c>
      <c r="N44" s="17" t="s">
        <v>33</v>
      </c>
      <c r="O44" s="2">
        <v>1</v>
      </c>
      <c r="P44" s="2">
        <v>1</v>
      </c>
      <c r="Q44" s="2">
        <f ca="1">IF(T_Coda[[#This Row],[On/Off]]=1,RAND()/IF(T_Coda[[#This Row],[Weighting]]="",1,T_Coda[[#This Row],[Weighting]]),"")</f>
        <v>0.85883924092797492</v>
      </c>
      <c r="R44" s="5" t="str" cm="1">
        <f t="array" aca="1" ref="R44" ca="1">IFERROR(INDEX(T_Coda[Coda],MATCH(1,(T_Coda[Random '#]=MIN(T_Coda[Random '#]))*1,0)),"")</f>
        <v>ʕ</v>
      </c>
    </row>
    <row r="45" spans="2:18" x14ac:dyDescent="0.25">
      <c r="B45" s="17" t="s">
        <v>78</v>
      </c>
      <c r="C45" s="2">
        <v>1</v>
      </c>
      <c r="D45" s="2">
        <v>1</v>
      </c>
      <c r="E45" s="2">
        <f ca="1">IF(T_Onset[[#This Row],[On/Off]]=1,RAND()/IF(T_Onset[[#This Row],[Weighting]]="",1,T_Onset[[#This Row],[Weighting]]),"")</f>
        <v>0.26471713673735142</v>
      </c>
      <c r="F45" s="5" t="str" cm="1">
        <f t="array" aca="1" ref="F45" ca="1">IFERROR(INDEX(T_Onset[Onset],MATCH(1,(T_Onset[Random '#]=MIN(T_Onset[Random '#]))*1,0)),"")</f>
        <v>ɭ</v>
      </c>
      <c r="N45" s="17" t="s">
        <v>78</v>
      </c>
      <c r="O45" s="2">
        <v>1</v>
      </c>
      <c r="P45" s="2">
        <v>1</v>
      </c>
      <c r="Q45" s="2">
        <f ca="1">IF(T_Coda[[#This Row],[On/Off]]=1,RAND()/IF(T_Coda[[#This Row],[Weighting]]="",1,T_Coda[[#This Row],[Weighting]]),"")</f>
        <v>0.8787120946037863</v>
      </c>
      <c r="R45" s="5" t="str" cm="1">
        <f t="array" aca="1" ref="R45" ca="1">IFERROR(INDEX(T_Coda[Coda],MATCH(1,(T_Coda[Random '#]=MIN(T_Coda[Random '#]))*1,0)),"")</f>
        <v>ʕ</v>
      </c>
    </row>
    <row r="46" spans="2:18" x14ac:dyDescent="0.25">
      <c r="B46" s="17" t="s">
        <v>61</v>
      </c>
      <c r="C46" s="2">
        <v>1</v>
      </c>
      <c r="D46" s="2">
        <v>1</v>
      </c>
      <c r="E46" s="2">
        <f ca="1">IF(T_Onset[[#This Row],[On/Off]]=1,RAND()/IF(T_Onset[[#This Row],[Weighting]]="",1,T_Onset[[#This Row],[Weighting]]),"")</f>
        <v>0.76220380728853943</v>
      </c>
      <c r="F46" s="5" t="str" cm="1">
        <f t="array" aca="1" ref="F46" ca="1">IFERROR(INDEX(T_Onset[Onset],MATCH(1,(T_Onset[Random '#]=MIN(T_Onset[Random '#]))*1,0)),"")</f>
        <v>ɭ</v>
      </c>
      <c r="N46" s="17" t="s">
        <v>61</v>
      </c>
      <c r="O46" s="2">
        <v>1</v>
      </c>
      <c r="P46" s="2">
        <v>1</v>
      </c>
      <c r="Q46" s="2">
        <f ca="1">IF(T_Coda[[#This Row],[On/Off]]=1,RAND()/IF(T_Coda[[#This Row],[Weighting]]="",1,T_Coda[[#This Row],[Weighting]]),"")</f>
        <v>0.73233716560123063</v>
      </c>
      <c r="R46" s="5" t="str" cm="1">
        <f t="array" aca="1" ref="R46" ca="1">IFERROR(INDEX(T_Coda[Coda],MATCH(1,(T_Coda[Random '#]=MIN(T_Coda[Random '#]))*1,0)),"")</f>
        <v>ʕ</v>
      </c>
    </row>
    <row r="47" spans="2:18" x14ac:dyDescent="0.25">
      <c r="B47" s="17" t="s">
        <v>35</v>
      </c>
      <c r="C47" s="2">
        <v>1</v>
      </c>
      <c r="D47" s="2">
        <v>1</v>
      </c>
      <c r="E47" s="2">
        <f ca="1">IF(T_Onset[[#This Row],[On/Off]]=1,RAND()/IF(T_Onset[[#This Row],[Weighting]]="",1,T_Onset[[#This Row],[Weighting]]),"")</f>
        <v>0.84759259144440136</v>
      </c>
      <c r="F47" s="5" t="str" cm="1">
        <f t="array" aca="1" ref="F47" ca="1">IFERROR(INDEX(T_Onset[Onset],MATCH(1,(T_Onset[Random '#]=MIN(T_Onset[Random '#]))*1,0)),"")</f>
        <v>ɭ</v>
      </c>
      <c r="N47" s="17" t="s">
        <v>35</v>
      </c>
      <c r="O47" s="2">
        <v>1</v>
      </c>
      <c r="P47" s="2">
        <v>1</v>
      </c>
      <c r="Q47" s="2">
        <f ca="1">IF(T_Coda[[#This Row],[On/Off]]=1,RAND()/IF(T_Coda[[#This Row],[Weighting]]="",1,T_Coda[[#This Row],[Weighting]]),"")</f>
        <v>0.93486024549847968</v>
      </c>
      <c r="R47" s="5" t="str" cm="1">
        <f t="array" aca="1" ref="R47" ca="1">IFERROR(INDEX(T_Coda[Coda],MATCH(1,(T_Coda[Random '#]=MIN(T_Coda[Random '#]))*1,0)),"")</f>
        <v>ʕ</v>
      </c>
    </row>
    <row r="48" spans="2:18" x14ac:dyDescent="0.25">
      <c r="B48" s="17" t="s">
        <v>75</v>
      </c>
      <c r="C48" s="2">
        <v>1</v>
      </c>
      <c r="D48" s="2">
        <v>1</v>
      </c>
      <c r="E48" s="2">
        <f ca="1">IF(T_Onset[[#This Row],[On/Off]]=1,RAND()/IF(T_Onset[[#This Row],[Weighting]]="",1,T_Onset[[#This Row],[Weighting]]),"")</f>
        <v>0.5024403349155776</v>
      </c>
      <c r="F48" s="5" t="str" cm="1">
        <f t="array" aca="1" ref="F48" ca="1">IFERROR(INDEX(T_Onset[Onset],MATCH(1,(T_Onset[Random '#]=MIN(T_Onset[Random '#]))*1,0)),"")</f>
        <v>ɭ</v>
      </c>
      <c r="N48" s="17" t="s">
        <v>75</v>
      </c>
      <c r="O48" s="2">
        <v>1</v>
      </c>
      <c r="P48" s="2">
        <v>1</v>
      </c>
      <c r="Q48" s="2">
        <f ca="1">IF(T_Coda[[#This Row],[On/Off]]=1,RAND()/IF(T_Coda[[#This Row],[Weighting]]="",1,T_Coda[[#This Row],[Weighting]]),"")</f>
        <v>1.5066835035709714E-3</v>
      </c>
      <c r="R48" s="5" t="str" cm="1">
        <f t="array" aca="1" ref="R48" ca="1">IFERROR(INDEX(T_Coda[Coda],MATCH(1,(T_Coda[Random '#]=MIN(T_Coda[Random '#]))*1,0)),"")</f>
        <v>ʕ</v>
      </c>
    </row>
    <row r="49" spans="2:18" x14ac:dyDescent="0.25">
      <c r="B49" s="17" t="s">
        <v>87</v>
      </c>
      <c r="C49" s="2">
        <v>1</v>
      </c>
      <c r="D49" s="2">
        <v>1</v>
      </c>
      <c r="E49" s="2">
        <f ca="1">IF(T_Onset[[#This Row],[On/Off]]=1,RAND()/IF(T_Onset[[#This Row],[Weighting]]="",1,T_Onset[[#This Row],[Weighting]]),"")</f>
        <v>9.1405809787282077E-2</v>
      </c>
      <c r="F49" s="5" t="str" cm="1">
        <f t="array" aca="1" ref="F49" ca="1">IFERROR(INDEX(T_Onset[Onset],MATCH(1,(T_Onset[Random '#]=MIN(T_Onset[Random '#]))*1,0)),"")</f>
        <v>ɭ</v>
      </c>
      <c r="N49" s="17" t="s">
        <v>87</v>
      </c>
      <c r="O49" s="2">
        <v>1</v>
      </c>
      <c r="P49" s="2">
        <v>1</v>
      </c>
      <c r="Q49" s="2">
        <f ca="1">IF(T_Coda[[#This Row],[On/Off]]=1,RAND()/IF(T_Coda[[#This Row],[Weighting]]="",1,T_Coda[[#This Row],[Weighting]]),"")</f>
        <v>0.22907799135586004</v>
      </c>
      <c r="R49" s="5" t="str" cm="1">
        <f t="array" aca="1" ref="R49" ca="1">IFERROR(INDEX(T_Coda[Coda],MATCH(1,(T_Coda[Random '#]=MIN(T_Coda[Random '#]))*1,0)),"")</f>
        <v>ʕ</v>
      </c>
    </row>
    <row r="50" spans="2:18" x14ac:dyDescent="0.25">
      <c r="B50" s="17" t="s">
        <v>36</v>
      </c>
      <c r="C50" s="2">
        <v>1</v>
      </c>
      <c r="D50" s="2">
        <v>1</v>
      </c>
      <c r="E50" s="2">
        <f ca="1">IF(T_Onset[[#This Row],[On/Off]]=1,RAND()/IF(T_Onset[[#This Row],[Weighting]]="",1,T_Onset[[#This Row],[Weighting]]),"")</f>
        <v>0.65896810958080965</v>
      </c>
      <c r="F50" s="5" t="str" cm="1">
        <f t="array" aca="1" ref="F50" ca="1">IFERROR(INDEX(T_Onset[Onset],MATCH(1,(T_Onset[Random '#]=MIN(T_Onset[Random '#]))*1,0)),"")</f>
        <v>ɭ</v>
      </c>
      <c r="N50" s="17" t="s">
        <v>36</v>
      </c>
      <c r="O50" s="2">
        <v>1</v>
      </c>
      <c r="P50" s="2">
        <v>1</v>
      </c>
      <c r="Q50" s="2">
        <f ca="1">IF(T_Coda[[#This Row],[On/Off]]=1,RAND()/IF(T_Coda[[#This Row],[Weighting]]="",1,T_Coda[[#This Row],[Weighting]]),"")</f>
        <v>0.29676924074537714</v>
      </c>
      <c r="R50" s="5" t="str" cm="1">
        <f t="array" aca="1" ref="R50" ca="1">IFERROR(INDEX(T_Coda[Coda],MATCH(1,(T_Coda[Random '#]=MIN(T_Coda[Random '#]))*1,0)),"")</f>
        <v>ʕ</v>
      </c>
    </row>
    <row r="51" spans="2:18" x14ac:dyDescent="0.25">
      <c r="B51" s="17" t="s">
        <v>43</v>
      </c>
      <c r="C51" s="2">
        <v>1</v>
      </c>
      <c r="D51" s="2">
        <v>1</v>
      </c>
      <c r="E51" s="2">
        <f ca="1">IF(T_Onset[[#This Row],[On/Off]]=1,RAND()/IF(T_Onset[[#This Row],[Weighting]]="",1,T_Onset[[#This Row],[Weighting]]),"")</f>
        <v>0.2386311232688455</v>
      </c>
      <c r="F51" s="5" t="str" cm="1">
        <f t="array" aca="1" ref="F51" ca="1">IFERROR(INDEX(T_Onset[Onset],MATCH(1,(T_Onset[Random '#]=MIN(T_Onset[Random '#]))*1,0)),"")</f>
        <v>ɭ</v>
      </c>
      <c r="N51" s="17" t="s">
        <v>43</v>
      </c>
      <c r="O51" s="2">
        <v>1</v>
      </c>
      <c r="P51" s="2">
        <v>1</v>
      </c>
      <c r="Q51" s="2">
        <f ca="1">IF(T_Coda[[#This Row],[On/Off]]=1,RAND()/IF(T_Coda[[#This Row],[Weighting]]="",1,T_Coda[[#This Row],[Weighting]]),"")</f>
        <v>0.45337693235747767</v>
      </c>
      <c r="R51" s="5" t="str" cm="1">
        <f t="array" aca="1" ref="R51" ca="1">IFERROR(INDEX(T_Coda[Coda],MATCH(1,(T_Coda[Random '#]=MIN(T_Coda[Random '#]))*1,0)),"")</f>
        <v>ʕ</v>
      </c>
    </row>
    <row r="52" spans="2:18" x14ac:dyDescent="0.25">
      <c r="B52" s="17" t="s">
        <v>44</v>
      </c>
      <c r="C52" s="2">
        <v>1</v>
      </c>
      <c r="D52" s="2">
        <v>1</v>
      </c>
      <c r="E52" s="2">
        <f ca="1">IF(T_Onset[[#This Row],[On/Off]]=1,RAND()/IF(T_Onset[[#This Row],[Weighting]]="",1,T_Onset[[#This Row],[Weighting]]),"")</f>
        <v>0.13094114483006258</v>
      </c>
      <c r="F52" s="5" t="str" cm="1">
        <f t="array" aca="1" ref="F52" ca="1">IFERROR(INDEX(T_Onset[Onset],MATCH(1,(T_Onset[Random '#]=MIN(T_Onset[Random '#]))*1,0)),"")</f>
        <v>ɭ</v>
      </c>
      <c r="N52" s="17" t="s">
        <v>44</v>
      </c>
      <c r="O52" s="2">
        <v>1</v>
      </c>
      <c r="P52" s="2">
        <v>1</v>
      </c>
      <c r="Q52" s="2">
        <f ca="1">IF(T_Coda[[#This Row],[On/Off]]=1,RAND()/IF(T_Coda[[#This Row],[Weighting]]="",1,T_Coda[[#This Row],[Weighting]]),"")</f>
        <v>0.66269980383525118</v>
      </c>
      <c r="R52" s="5" t="str" cm="1">
        <f t="array" aca="1" ref="R52" ca="1">IFERROR(INDEX(T_Coda[Coda],MATCH(1,(T_Coda[Random '#]=MIN(T_Coda[Random '#]))*1,0)),"")</f>
        <v>ʕ</v>
      </c>
    </row>
    <row r="53" spans="2:18" x14ac:dyDescent="0.25">
      <c r="B53" s="17" t="s">
        <v>67</v>
      </c>
      <c r="C53" s="2">
        <v>1</v>
      </c>
      <c r="D53" s="2">
        <v>1</v>
      </c>
      <c r="E53" s="2">
        <f ca="1">IF(T_Onset[[#This Row],[On/Off]]=1,RAND()/IF(T_Onset[[#This Row],[Weighting]]="",1,T_Onset[[#This Row],[Weighting]]),"")</f>
        <v>0.99096812823585911</v>
      </c>
      <c r="F53" s="5" t="str" cm="1">
        <f t="array" aca="1" ref="F53" ca="1">IFERROR(INDEX(T_Onset[Onset],MATCH(1,(T_Onset[Random '#]=MIN(T_Onset[Random '#]))*1,0)),"")</f>
        <v>ɭ</v>
      </c>
      <c r="N53" s="17" t="s">
        <v>67</v>
      </c>
      <c r="O53" s="2">
        <v>1</v>
      </c>
      <c r="P53" s="2">
        <v>1</v>
      </c>
      <c r="Q53" s="2">
        <f ca="1">IF(T_Coda[[#This Row],[On/Off]]=1,RAND()/IF(T_Coda[[#This Row],[Weighting]]="",1,T_Coda[[#This Row],[Weighting]]),"")</f>
        <v>0.12912484513469003</v>
      </c>
      <c r="R53" s="5" t="str" cm="1">
        <f t="array" aca="1" ref="R53" ca="1">IFERROR(INDEX(T_Coda[Coda],MATCH(1,(T_Coda[Random '#]=MIN(T_Coda[Random '#]))*1,0)),"")</f>
        <v>ʕ</v>
      </c>
    </row>
    <row r="54" spans="2:18" x14ac:dyDescent="0.25">
      <c r="B54" s="17" t="s">
        <v>59</v>
      </c>
      <c r="C54" s="2">
        <v>1</v>
      </c>
      <c r="D54" s="2">
        <v>1</v>
      </c>
      <c r="E54" s="2">
        <f ca="1">IF(T_Onset[[#This Row],[On/Off]]=1,RAND()/IF(T_Onset[[#This Row],[Weighting]]="",1,T_Onset[[#This Row],[Weighting]]),"")</f>
        <v>0.47089704643504637</v>
      </c>
      <c r="F54" s="5" t="str" cm="1">
        <f t="array" aca="1" ref="F54" ca="1">IFERROR(INDEX(T_Onset[Onset],MATCH(1,(T_Onset[Random '#]=MIN(T_Onset[Random '#]))*1,0)),"")</f>
        <v>ɭ</v>
      </c>
      <c r="N54" s="17" t="s">
        <v>59</v>
      </c>
      <c r="O54" s="2">
        <v>1</v>
      </c>
      <c r="P54" s="2">
        <v>1</v>
      </c>
      <c r="Q54" s="2">
        <f ca="1">IF(T_Coda[[#This Row],[On/Off]]=1,RAND()/IF(T_Coda[[#This Row],[Weighting]]="",1,T_Coda[[#This Row],[Weighting]]),"")</f>
        <v>0.20722269350017875</v>
      </c>
      <c r="R54" s="5" t="str" cm="1">
        <f t="array" aca="1" ref="R54" ca="1">IFERROR(INDEX(T_Coda[Coda],MATCH(1,(T_Coda[Random '#]=MIN(T_Coda[Random '#]))*1,0)),"")</f>
        <v>ʕ</v>
      </c>
    </row>
    <row r="55" spans="2:18" x14ac:dyDescent="0.25">
      <c r="B55" s="17" t="s">
        <v>60</v>
      </c>
      <c r="C55" s="2">
        <v>1</v>
      </c>
      <c r="D55" s="2">
        <v>1</v>
      </c>
      <c r="E55" s="2">
        <f ca="1">IF(T_Onset[[#This Row],[On/Off]]=1,RAND()/IF(T_Onset[[#This Row],[Weighting]]="",1,T_Onset[[#This Row],[Weighting]]),"")</f>
        <v>0.6069025536925986</v>
      </c>
      <c r="F55" s="5" t="str" cm="1">
        <f t="array" aca="1" ref="F55" ca="1">IFERROR(INDEX(T_Onset[Onset],MATCH(1,(T_Onset[Random '#]=MIN(T_Onset[Random '#]))*1,0)),"")</f>
        <v>ɭ</v>
      </c>
      <c r="N55" s="17" t="s">
        <v>60</v>
      </c>
      <c r="O55" s="2">
        <v>1</v>
      </c>
      <c r="P55" s="2">
        <v>1</v>
      </c>
      <c r="Q55" s="2">
        <f ca="1">IF(T_Coda[[#This Row],[On/Off]]=1,RAND()/IF(T_Coda[[#This Row],[Weighting]]="",1,T_Coda[[#This Row],[Weighting]]),"")</f>
        <v>0.56076801818482946</v>
      </c>
      <c r="R55" s="5" t="str" cm="1">
        <f t="array" aca="1" ref="R55" ca="1">IFERROR(INDEX(T_Coda[Coda],MATCH(1,(T_Coda[Random '#]=MIN(T_Coda[Random '#]))*1,0)),"")</f>
        <v>ʕ</v>
      </c>
    </row>
    <row r="56" spans="2:18" x14ac:dyDescent="0.25">
      <c r="B56" s="17" t="s">
        <v>88</v>
      </c>
      <c r="C56" s="2">
        <v>1</v>
      </c>
      <c r="D56" s="2">
        <v>1</v>
      </c>
      <c r="E56" s="2">
        <f ca="1">IF(T_Onset[[#This Row],[On/Off]]=1,RAND()/IF(T_Onset[[#This Row],[Weighting]]="",1,T_Onset[[#This Row],[Weighting]]),"")</f>
        <v>0.26370839839798521</v>
      </c>
      <c r="F56" s="5" t="str" cm="1">
        <f t="array" aca="1" ref="F56" ca="1">IFERROR(INDEX(T_Onset[Onset],MATCH(1,(T_Onset[Random '#]=MIN(T_Onset[Random '#]))*1,0)),"")</f>
        <v>ɭ</v>
      </c>
      <c r="N56" s="17" t="s">
        <v>88</v>
      </c>
      <c r="O56" s="2">
        <v>1</v>
      </c>
      <c r="P56" s="2">
        <v>1</v>
      </c>
      <c r="Q56" s="2">
        <f ca="1">IF(T_Coda[[#This Row],[On/Off]]=1,RAND()/IF(T_Coda[[#This Row],[Weighting]]="",1,T_Coda[[#This Row],[Weighting]]),"")</f>
        <v>0.31126566728760297</v>
      </c>
      <c r="R56" s="5" t="str" cm="1">
        <f t="array" aca="1" ref="R56" ca="1">IFERROR(INDEX(T_Coda[Coda],MATCH(1,(T_Coda[Random '#]=MIN(T_Coda[Random '#]))*1,0)),"")</f>
        <v>ʕ</v>
      </c>
    </row>
    <row r="57" spans="2:18" x14ac:dyDescent="0.25">
      <c r="B57" s="17" t="s">
        <v>47</v>
      </c>
      <c r="C57" s="2">
        <v>1</v>
      </c>
      <c r="D57" s="2">
        <v>1</v>
      </c>
      <c r="E57" s="2">
        <f ca="1">IF(T_Onset[[#This Row],[On/Off]]=1,RAND()/IF(T_Onset[[#This Row],[Weighting]]="",1,T_Onset[[#This Row],[Weighting]]),"")</f>
        <v>0.78855978065299559</v>
      </c>
      <c r="F57" s="5" t="str" cm="1">
        <f t="array" aca="1" ref="F57" ca="1">IFERROR(INDEX(T_Onset[Onset],MATCH(1,(T_Onset[Random '#]=MIN(T_Onset[Random '#]))*1,0)),"")</f>
        <v>ɭ</v>
      </c>
      <c r="N57" s="17" t="s">
        <v>47</v>
      </c>
      <c r="O57" s="2">
        <v>1</v>
      </c>
      <c r="P57" s="2">
        <v>1</v>
      </c>
      <c r="Q57" s="2">
        <f ca="1">IF(T_Coda[[#This Row],[On/Off]]=1,RAND()/IF(T_Coda[[#This Row],[Weighting]]="",1,T_Coda[[#This Row],[Weighting]]),"")</f>
        <v>0.7063298418780023</v>
      </c>
      <c r="R57" s="5" t="str" cm="1">
        <f t="array" aca="1" ref="R57" ca="1">IFERROR(INDEX(T_Coda[Coda],MATCH(1,(T_Coda[Random '#]=MIN(T_Coda[Random '#]))*1,0)),"")</f>
        <v>ʕ</v>
      </c>
    </row>
    <row r="58" spans="2:18" x14ac:dyDescent="0.25">
      <c r="B58" s="17" t="s">
        <v>40</v>
      </c>
      <c r="C58" s="2">
        <v>1</v>
      </c>
      <c r="D58" s="2">
        <v>1</v>
      </c>
      <c r="E58" s="2">
        <f ca="1">IF(T_Onset[[#This Row],[On/Off]]=1,RAND()/IF(T_Onset[[#This Row],[Weighting]]="",1,T_Onset[[#This Row],[Weighting]]),"")</f>
        <v>0.4901135462950702</v>
      </c>
      <c r="F58" s="5" t="str" cm="1">
        <f t="array" aca="1" ref="F58" ca="1">IFERROR(INDEX(T_Onset[Onset],MATCH(1,(T_Onset[Random '#]=MIN(T_Onset[Random '#]))*1,0)),"")</f>
        <v>ɭ</v>
      </c>
      <c r="N58" s="17" t="s">
        <v>40</v>
      </c>
      <c r="O58" s="2">
        <v>1</v>
      </c>
      <c r="P58" s="2">
        <v>1</v>
      </c>
      <c r="Q58" s="2">
        <f ca="1">IF(T_Coda[[#This Row],[On/Off]]=1,RAND()/IF(T_Coda[[#This Row],[Weighting]]="",1,T_Coda[[#This Row],[Weighting]]),"")</f>
        <v>0.78905237854608501</v>
      </c>
      <c r="R58" s="5" t="str" cm="1">
        <f t="array" aca="1" ref="R58" ca="1">IFERROR(INDEX(T_Coda[Coda],MATCH(1,(T_Coda[Random '#]=MIN(T_Coda[Random '#]))*1,0)),"")</f>
        <v>ʕ</v>
      </c>
    </row>
    <row r="59" spans="2:18" x14ac:dyDescent="0.25">
      <c r="B59" s="17" t="s">
        <v>42</v>
      </c>
      <c r="C59" s="2">
        <v>1</v>
      </c>
      <c r="D59" s="2">
        <v>1</v>
      </c>
      <c r="E59" s="2">
        <f ca="1">IF(T_Onset[[#This Row],[On/Off]]=1,RAND()/IF(T_Onset[[#This Row],[Weighting]]="",1,T_Onset[[#This Row],[Weighting]]),"")</f>
        <v>6.9383946972012556E-3</v>
      </c>
      <c r="F59" s="5" t="str" cm="1">
        <f t="array" aca="1" ref="F59" ca="1">IFERROR(INDEX(T_Onset[Onset],MATCH(1,(T_Onset[Random '#]=MIN(T_Onset[Random '#]))*1,0)),"")</f>
        <v>ɭ</v>
      </c>
      <c r="N59" s="17" t="s">
        <v>42</v>
      </c>
      <c r="O59" s="2">
        <v>1</v>
      </c>
      <c r="P59" s="2">
        <v>1</v>
      </c>
      <c r="Q59" s="2">
        <f ca="1">IF(T_Coda[[#This Row],[On/Off]]=1,RAND()/IF(T_Coda[[#This Row],[Weighting]]="",1,T_Coda[[#This Row],[Weighting]]),"")</f>
        <v>0.33334367426225697</v>
      </c>
      <c r="R59" s="5" t="str" cm="1">
        <f t="array" aca="1" ref="R59" ca="1">IFERROR(INDEX(T_Coda[Coda],MATCH(1,(T_Coda[Random '#]=MIN(T_Coda[Random '#]))*1,0)),"")</f>
        <v>ʕ</v>
      </c>
    </row>
    <row r="60" spans="2:18" x14ac:dyDescent="0.25">
      <c r="B60" s="17" t="s">
        <v>70</v>
      </c>
      <c r="C60" s="2">
        <v>1</v>
      </c>
      <c r="D60" s="2">
        <v>1</v>
      </c>
      <c r="E60" s="2">
        <f ca="1">IF(T_Onset[[#This Row],[On/Off]]=1,RAND()/IF(T_Onset[[#This Row],[Weighting]]="",1,T_Onset[[#This Row],[Weighting]]),"")</f>
        <v>7.1230415548486858E-2</v>
      </c>
      <c r="F60" s="5" t="str" cm="1">
        <f t="array" aca="1" ref="F60" ca="1">IFERROR(INDEX(T_Onset[Onset],MATCH(1,(T_Onset[Random '#]=MIN(T_Onset[Random '#]))*1,0)),"")</f>
        <v>ɭ</v>
      </c>
      <c r="N60" s="17" t="s">
        <v>70</v>
      </c>
      <c r="O60" s="2">
        <v>1</v>
      </c>
      <c r="P60" s="2">
        <v>1</v>
      </c>
      <c r="Q60" s="2">
        <f ca="1">IF(T_Coda[[#This Row],[On/Off]]=1,RAND()/IF(T_Coda[[#This Row],[Weighting]]="",1,T_Coda[[#This Row],[Weighting]]),"")</f>
        <v>0.97643707881360453</v>
      </c>
      <c r="R60" s="5" t="str" cm="1">
        <f t="array" aca="1" ref="R60" ca="1">IFERROR(INDEX(T_Coda[Coda],MATCH(1,(T_Coda[Random '#]=MIN(T_Coda[Random '#]))*1,0)),"")</f>
        <v>ʕ</v>
      </c>
    </row>
    <row r="61" spans="2:18" x14ac:dyDescent="0.25">
      <c r="B61" s="17" t="s">
        <v>41</v>
      </c>
      <c r="C61" s="2">
        <v>1</v>
      </c>
      <c r="D61" s="2">
        <v>1</v>
      </c>
      <c r="E61" s="2">
        <f ca="1">IF(T_Onset[[#This Row],[On/Off]]=1,RAND()/IF(T_Onset[[#This Row],[Weighting]]="",1,T_Onset[[#This Row],[Weighting]]),"")</f>
        <v>0.6708188042197154</v>
      </c>
      <c r="F61" s="5" t="str" cm="1">
        <f t="array" aca="1" ref="F61" ca="1">IFERROR(INDEX(T_Onset[Onset],MATCH(1,(T_Onset[Random '#]=MIN(T_Onset[Random '#]))*1,0)),"")</f>
        <v>ɭ</v>
      </c>
      <c r="N61" s="17" t="s">
        <v>41</v>
      </c>
      <c r="O61" s="2">
        <v>1</v>
      </c>
      <c r="P61" s="2">
        <v>1</v>
      </c>
      <c r="Q61" s="2">
        <f ca="1">IF(T_Coda[[#This Row],[On/Off]]=1,RAND()/IF(T_Coda[[#This Row],[Weighting]]="",1,T_Coda[[#This Row],[Weighting]]),"")</f>
        <v>0.40557022383472641</v>
      </c>
      <c r="R61" s="5" t="str" cm="1">
        <f t="array" aca="1" ref="R61" ca="1">IFERROR(INDEX(T_Coda[Coda],MATCH(1,(T_Coda[Random '#]=MIN(T_Coda[Random '#]))*1,0)),"")</f>
        <v>ʕ</v>
      </c>
    </row>
    <row r="62" spans="2:18" x14ac:dyDescent="0.25">
      <c r="B62" s="17" t="s">
        <v>68</v>
      </c>
      <c r="C62" s="2">
        <v>1</v>
      </c>
      <c r="D62" s="2">
        <v>1</v>
      </c>
      <c r="E62" s="2">
        <f ca="1">IF(T_Onset[[#This Row],[On/Off]]=1,RAND()/IF(T_Onset[[#This Row],[Weighting]]="",1,T_Onset[[#This Row],[Weighting]]),"")</f>
        <v>0.21089478610579115</v>
      </c>
      <c r="F62" s="5" t="str" cm="1">
        <f t="array" aca="1" ref="F62" ca="1">IFERROR(INDEX(T_Onset[Onset],MATCH(1,(T_Onset[Random '#]=MIN(T_Onset[Random '#]))*1,0)),"")</f>
        <v>ɭ</v>
      </c>
      <c r="N62" s="17" t="s">
        <v>68</v>
      </c>
      <c r="O62" s="2">
        <v>1</v>
      </c>
      <c r="P62" s="2">
        <v>1</v>
      </c>
      <c r="Q62" s="2">
        <f ca="1">IF(T_Coda[[#This Row],[On/Off]]=1,RAND()/IF(T_Coda[[#This Row],[Weighting]]="",1,T_Coda[[#This Row],[Weighting]]),"")</f>
        <v>0.13720257906968847</v>
      </c>
      <c r="R62" s="5" t="str" cm="1">
        <f t="array" aca="1" ref="R62" ca="1">IFERROR(INDEX(T_Coda[Coda],MATCH(1,(T_Coda[Random '#]=MIN(T_Coda[Random '#]))*1,0)),"")</f>
        <v>ʕ</v>
      </c>
    </row>
    <row r="63" spans="2:18" x14ac:dyDescent="0.25">
      <c r="B63" s="17" t="s">
        <v>89</v>
      </c>
      <c r="C63" s="2">
        <v>1</v>
      </c>
      <c r="D63" s="2">
        <v>1</v>
      </c>
      <c r="E63" s="2">
        <f ca="1">IF(T_Onset[[#This Row],[On/Off]]=1,RAND()/IF(T_Onset[[#This Row],[Weighting]]="",1,T_Onset[[#This Row],[Weighting]]),"")</f>
        <v>0.30704134655071835</v>
      </c>
      <c r="F63" s="5" t="str" cm="1">
        <f t="array" aca="1" ref="F63" ca="1">IFERROR(INDEX(T_Onset[Onset],MATCH(1,(T_Onset[Random '#]=MIN(T_Onset[Random '#]))*1,0)),"")</f>
        <v>ɭ</v>
      </c>
      <c r="N63" s="17" t="s">
        <v>89</v>
      </c>
      <c r="O63" s="2">
        <v>1</v>
      </c>
      <c r="P63" s="2">
        <v>1</v>
      </c>
      <c r="Q63" s="2">
        <f ca="1">IF(T_Coda[[#This Row],[On/Off]]=1,RAND()/IF(T_Coda[[#This Row],[Weighting]]="",1,T_Coda[[#This Row],[Weighting]]),"")</f>
        <v>0.69931904233725239</v>
      </c>
      <c r="R63" s="5" t="str" cm="1">
        <f t="array" aca="1" ref="R63" ca="1">IFERROR(INDEX(T_Coda[Coda],MATCH(1,(T_Coda[Random '#]=MIN(T_Coda[Random '#]))*1,0)),"")</f>
        <v>ʕ</v>
      </c>
    </row>
    <row r="64" spans="2:18" x14ac:dyDescent="0.25">
      <c r="B64" s="17" t="s">
        <v>90</v>
      </c>
      <c r="C64" s="2">
        <v>1</v>
      </c>
      <c r="D64" s="2">
        <v>1</v>
      </c>
      <c r="E64" s="2">
        <f ca="1">IF(T_Onset[[#This Row],[On/Off]]=1,RAND()/IF(T_Onset[[#This Row],[Weighting]]="",1,T_Onset[[#This Row],[Weighting]]),"")</f>
        <v>0.17970593988018391</v>
      </c>
      <c r="F64" s="5" t="str" cm="1">
        <f t="array" aca="1" ref="F64" ca="1">IFERROR(INDEX(T_Onset[Onset],MATCH(1,(T_Onset[Random '#]=MIN(T_Onset[Random '#]))*1,0)),"")</f>
        <v>ɭ</v>
      </c>
      <c r="N64" s="17" t="s">
        <v>90</v>
      </c>
      <c r="O64" s="2">
        <v>1</v>
      </c>
      <c r="P64" s="2">
        <v>1</v>
      </c>
      <c r="Q64" s="2">
        <f ca="1">IF(T_Coda[[#This Row],[On/Off]]=1,RAND()/IF(T_Coda[[#This Row],[Weighting]]="",1,T_Coda[[#This Row],[Weighting]]),"")</f>
        <v>0.19759499982226436</v>
      </c>
      <c r="R64" s="5" t="str" cm="1">
        <f t="array" aca="1" ref="R64" ca="1">IFERROR(INDEX(T_Coda[Coda],MATCH(1,(T_Coda[Random '#]=MIN(T_Coda[Random '#]))*1,0)),"")</f>
        <v>ʕ</v>
      </c>
    </row>
    <row r="65" spans="2:18" x14ac:dyDescent="0.25">
      <c r="B65" s="17" t="s">
        <v>91</v>
      </c>
      <c r="C65" s="2">
        <v>1</v>
      </c>
      <c r="D65" s="2">
        <v>1</v>
      </c>
      <c r="E65" s="2">
        <f ca="1">IF(T_Onset[[#This Row],[On/Off]]=1,RAND()/IF(T_Onset[[#This Row],[Weighting]]="",1,T_Onset[[#This Row],[Weighting]]),"")</f>
        <v>7.5891733047475873E-2</v>
      </c>
      <c r="F65" s="5" t="str" cm="1">
        <f t="array" aca="1" ref="F65" ca="1">IFERROR(INDEX(T_Onset[Onset],MATCH(1,(T_Onset[Random '#]=MIN(T_Onset[Random '#]))*1,0)),"")</f>
        <v>ɭ</v>
      </c>
      <c r="N65" s="17" t="s">
        <v>91</v>
      </c>
      <c r="O65" s="2">
        <v>1</v>
      </c>
      <c r="P65" s="2">
        <v>1</v>
      </c>
      <c r="Q65" s="2">
        <f ca="1">IF(T_Coda[[#This Row],[On/Off]]=1,RAND()/IF(T_Coda[[#This Row],[Weighting]]="",1,T_Coda[[#This Row],[Weighting]]),"")</f>
        <v>0.57006292380061774</v>
      </c>
      <c r="R65" s="5" t="str" cm="1">
        <f t="array" aca="1" ref="R65" ca="1">IFERROR(INDEX(T_Coda[Coda],MATCH(1,(T_Coda[Random '#]=MIN(T_Coda[Random '#]))*1,0)),"")</f>
        <v>ʕ</v>
      </c>
    </row>
    <row r="66" spans="2:18" x14ac:dyDescent="0.25">
      <c r="B66" s="17" t="s">
        <v>92</v>
      </c>
      <c r="C66" s="2">
        <v>1</v>
      </c>
      <c r="D66" s="2">
        <v>1</v>
      </c>
      <c r="E66" s="2">
        <f ca="1">IF(T_Onset[[#This Row],[On/Off]]=1,RAND()/IF(T_Onset[[#This Row],[Weighting]]="",1,T_Onset[[#This Row],[Weighting]]),"")</f>
        <v>0.61227962421823312</v>
      </c>
      <c r="F66" s="5" t="str" cm="1">
        <f t="array" aca="1" ref="F66" ca="1">IFERROR(INDEX(T_Onset[Onset],MATCH(1,(T_Onset[Random '#]=MIN(T_Onset[Random '#]))*1,0)),"")</f>
        <v>ɭ</v>
      </c>
      <c r="N66" s="17" t="s">
        <v>92</v>
      </c>
      <c r="O66" s="2">
        <v>1</v>
      </c>
      <c r="P66" s="2">
        <v>1</v>
      </c>
      <c r="Q66" s="2">
        <f ca="1">IF(T_Coda[[#This Row],[On/Off]]=1,RAND()/IF(T_Coda[[#This Row],[Weighting]]="",1,T_Coda[[#This Row],[Weighting]]),"")</f>
        <v>4.6984337864552694E-2</v>
      </c>
      <c r="R66" s="5" t="str" cm="1">
        <f t="array" aca="1" ref="R66" ca="1">IFERROR(INDEX(T_Coda[Coda],MATCH(1,(T_Coda[Random '#]=MIN(T_Coda[Random '#]))*1,0)),"")</f>
        <v>ʕ</v>
      </c>
    </row>
    <row r="67" spans="2:18" x14ac:dyDescent="0.25">
      <c r="B67" s="17" t="s">
        <v>93</v>
      </c>
      <c r="C67" s="2">
        <v>1</v>
      </c>
      <c r="D67" s="2">
        <v>1</v>
      </c>
      <c r="E67" s="2">
        <f ca="1">IF(T_Onset[[#This Row],[On/Off]]=1,RAND()/IF(T_Onset[[#This Row],[Weighting]]="",1,T_Onset[[#This Row],[Weighting]]),"")</f>
        <v>9.8065608452744257E-2</v>
      </c>
      <c r="F67" s="5" t="str" cm="1">
        <f t="array" aca="1" ref="F67" ca="1">IFERROR(INDEX(T_Onset[Onset],MATCH(1,(T_Onset[Random '#]=MIN(T_Onset[Random '#]))*1,0)),"")</f>
        <v>ɭ</v>
      </c>
      <c r="N67" s="17" t="s">
        <v>93</v>
      </c>
      <c r="O67" s="2">
        <v>1</v>
      </c>
      <c r="P67" s="2">
        <v>1</v>
      </c>
      <c r="Q67" s="2">
        <f ca="1">IF(T_Coda[[#This Row],[On/Off]]=1,RAND()/IF(T_Coda[[#This Row],[Weighting]]="",1,T_Coda[[#This Row],[Weighting]]),"")</f>
        <v>9.9731241040036389E-3</v>
      </c>
      <c r="R67" s="5" t="str" cm="1">
        <f t="array" aca="1" ref="R67" ca="1">IFERROR(INDEX(T_Coda[Coda],MATCH(1,(T_Coda[Random '#]=MIN(T_Coda[Random '#]))*1,0)),"")</f>
        <v>ʕ</v>
      </c>
    </row>
    <row r="68" spans="2:18" x14ac:dyDescent="0.25">
      <c r="B68" s="17" t="s">
        <v>94</v>
      </c>
      <c r="C68" s="2">
        <v>1</v>
      </c>
      <c r="D68" s="2">
        <v>1</v>
      </c>
      <c r="E68" s="2">
        <f ca="1">IF(T_Onset[[#This Row],[On/Off]]=1,RAND()/IF(T_Onset[[#This Row],[Weighting]]="",1,T_Onset[[#This Row],[Weighting]]),"")</f>
        <v>3.7712173282236972E-2</v>
      </c>
      <c r="F68" s="5" t="str" cm="1">
        <f t="array" aca="1" ref="F68" ca="1">IFERROR(INDEX(T_Onset[Onset],MATCH(1,(T_Onset[Random '#]=MIN(T_Onset[Random '#]))*1,0)),"")</f>
        <v>ɭ</v>
      </c>
      <c r="N68" s="17" t="s">
        <v>94</v>
      </c>
      <c r="O68" s="2">
        <v>1</v>
      </c>
      <c r="P68" s="2">
        <v>1</v>
      </c>
      <c r="Q68" s="2">
        <f ca="1">IF(T_Coda[[#This Row],[On/Off]]=1,RAND()/IF(T_Coda[[#This Row],[Weighting]]="",1,T_Coda[[#This Row],[Weighting]]),"")</f>
        <v>0.15022616315061599</v>
      </c>
      <c r="R68" s="5" t="str" cm="1">
        <f t="array" aca="1" ref="R68" ca="1">IFERROR(INDEX(T_Coda[Coda],MATCH(1,(T_Coda[Random '#]=MIN(T_Coda[Random '#]))*1,0)),"")</f>
        <v>ʕ</v>
      </c>
    </row>
    <row r="69" spans="2:18" x14ac:dyDescent="0.25">
      <c r="B69" s="18" t="s">
        <v>158</v>
      </c>
      <c r="C69" s="9">
        <v>1</v>
      </c>
      <c r="D69" s="9">
        <v>0.1</v>
      </c>
      <c r="E69" s="6">
        <f ca="1">IF(T_Onset[[#This Row],[On/Off]]=1,RAND()/IF(T_Onset[[#This Row],[Weighting]]="",1,T_Onset[[#This Row],[Weighting]]),"")</f>
        <v>1.2626345840651865</v>
      </c>
      <c r="F69" s="15" t="str" cm="1">
        <f t="array" aca="1" ref="F69" ca="1">IFERROR(INDEX(T_Onset[Onset],MATCH(1,(T_Onset[Random '#]=MIN(T_Onset[Random '#]))*1,0)),"")</f>
        <v>ɭ</v>
      </c>
      <c r="N69" s="18" t="s">
        <v>246</v>
      </c>
      <c r="O69" s="9">
        <v>1</v>
      </c>
      <c r="P69" s="9">
        <v>0.1</v>
      </c>
      <c r="Q69" s="13">
        <f ca="1">IF(T_Coda[[#This Row],[On/Off]]=1,RAND()/IF(T_Coda[[#This Row],[Weighting]]="",1,T_Coda[[#This Row],[Weighting]]),"")</f>
        <v>4.4864911280220836</v>
      </c>
      <c r="R69" s="14" t="str" cm="1">
        <f t="array" aca="1" ref="R69" ca="1">IFERROR(INDEX(T_Coda[Coda],MATCH(1,(T_Coda[Random '#]=MIN(T_Coda[Random '#]))*1,0)),"")</f>
        <v>ʕ</v>
      </c>
    </row>
    <row r="70" spans="2:18" x14ac:dyDescent="0.25">
      <c r="B70" s="18" t="s">
        <v>135</v>
      </c>
      <c r="C70" s="9">
        <v>1</v>
      </c>
      <c r="D70" s="9">
        <v>0.1</v>
      </c>
      <c r="E70" s="6">
        <f ca="1">IF(T_Onset[[#This Row],[On/Off]]=1,RAND()/IF(T_Onset[[#This Row],[Weighting]]="",1,T_Onset[[#This Row],[Weighting]]),"")</f>
        <v>1.9552053721616236</v>
      </c>
      <c r="F70" s="15" t="str" cm="1">
        <f t="array" aca="1" ref="F70" ca="1">IFERROR(INDEX(T_Onset[Onset],MATCH(1,(T_Onset[Random '#]=MIN(T_Onset[Random '#]))*1,0)),"")</f>
        <v>ɭ</v>
      </c>
      <c r="N70" s="18" t="s">
        <v>198</v>
      </c>
      <c r="O70" s="9">
        <v>1</v>
      </c>
      <c r="P70" s="9">
        <v>0.1</v>
      </c>
      <c r="Q70" s="13">
        <f ca="1">IF(T_Coda[[#This Row],[On/Off]]=1,RAND()/IF(T_Coda[[#This Row],[Weighting]]="",1,T_Coda[[#This Row],[Weighting]]),"")</f>
        <v>1.8679905530865537</v>
      </c>
      <c r="R70" s="14" t="str" cm="1">
        <f t="array" aca="1" ref="R70" ca="1">IFERROR(INDEX(T_Coda[Coda],MATCH(1,(T_Coda[Random '#]=MIN(T_Coda[Random '#]))*1,0)),"")</f>
        <v>ʕ</v>
      </c>
    </row>
    <row r="71" spans="2:18" x14ac:dyDescent="0.25">
      <c r="B71" s="18" t="s">
        <v>126</v>
      </c>
      <c r="C71" s="9">
        <v>1</v>
      </c>
      <c r="D71" s="9">
        <v>0.1</v>
      </c>
      <c r="E71" s="6">
        <f ca="1">IF(T_Onset[[#This Row],[On/Off]]=1,RAND()/IF(T_Onset[[#This Row],[Weighting]]="",1,T_Onset[[#This Row],[Weighting]]),"")</f>
        <v>7.9406383937898628</v>
      </c>
      <c r="F71" s="15" t="str" cm="1">
        <f t="array" aca="1" ref="F71" ca="1">IFERROR(INDEX(T_Onset[Onset],MATCH(1,(T_Onset[Random '#]=MIN(T_Onset[Random '#]))*1,0)),"")</f>
        <v>ɭ</v>
      </c>
      <c r="N71" s="18" t="s">
        <v>247</v>
      </c>
      <c r="O71" s="9">
        <v>1</v>
      </c>
      <c r="P71" s="9">
        <v>0.1</v>
      </c>
      <c r="Q71" s="13">
        <f ca="1">IF(T_Coda[[#This Row],[On/Off]]=1,RAND()/IF(T_Coda[[#This Row],[Weighting]]="",1,T_Coda[[#This Row],[Weighting]]),"")</f>
        <v>6.1950242542020737</v>
      </c>
      <c r="R71" s="14" t="str" cm="1">
        <f t="array" aca="1" ref="R71" ca="1">IFERROR(INDEX(T_Coda[Coda],MATCH(1,(T_Coda[Random '#]=MIN(T_Coda[Random '#]))*1,0)),"")</f>
        <v>ʕ</v>
      </c>
    </row>
    <row r="72" spans="2:18" x14ac:dyDescent="0.25">
      <c r="B72" s="18" t="s">
        <v>156</v>
      </c>
      <c r="C72" s="9">
        <v>1</v>
      </c>
      <c r="D72" s="9">
        <v>0.1</v>
      </c>
      <c r="E72" s="6">
        <f ca="1">IF(T_Onset[[#This Row],[On/Off]]=1,RAND()/IF(T_Onset[[#This Row],[Weighting]]="",1,T_Onset[[#This Row],[Weighting]]),"")</f>
        <v>7.9682721246667807</v>
      </c>
      <c r="F72" s="15" t="str" cm="1">
        <f t="array" aca="1" ref="F72" ca="1">IFERROR(INDEX(T_Onset[Onset],MATCH(1,(T_Onset[Random '#]=MIN(T_Onset[Random '#]))*1,0)),"")</f>
        <v>ɭ</v>
      </c>
      <c r="N72" s="18" t="s">
        <v>226</v>
      </c>
      <c r="O72" s="9">
        <v>1</v>
      </c>
      <c r="P72" s="9">
        <v>0.1</v>
      </c>
      <c r="Q72" s="13">
        <f ca="1">IF(T_Coda[[#This Row],[On/Off]]=1,RAND()/IF(T_Coda[[#This Row],[Weighting]]="",1,T_Coda[[#This Row],[Weighting]]),"")</f>
        <v>5.4148839810339995</v>
      </c>
      <c r="R72" s="14" t="str" cm="1">
        <f t="array" aca="1" ref="R72" ca="1">IFERROR(INDEX(T_Coda[Coda],MATCH(1,(T_Coda[Random '#]=MIN(T_Coda[Random '#]))*1,0)),"")</f>
        <v>ʕ</v>
      </c>
    </row>
    <row r="73" spans="2:18" x14ac:dyDescent="0.25">
      <c r="B73" s="18" t="s">
        <v>161</v>
      </c>
      <c r="C73" s="9">
        <v>1</v>
      </c>
      <c r="D73" s="9">
        <v>0.1</v>
      </c>
      <c r="E73" s="6">
        <f ca="1">IF(T_Onset[[#This Row],[On/Off]]=1,RAND()/IF(T_Onset[[#This Row],[Weighting]]="",1,T_Onset[[#This Row],[Weighting]]),"")</f>
        <v>7.0651553404319563</v>
      </c>
      <c r="F73" s="15" t="str" cm="1">
        <f t="array" aca="1" ref="F73" ca="1">IFERROR(INDEX(T_Onset[Onset],MATCH(1,(T_Onset[Random '#]=MIN(T_Onset[Random '#]))*1,0)),"")</f>
        <v>ɭ</v>
      </c>
      <c r="N73" s="18" t="s">
        <v>266</v>
      </c>
      <c r="O73" s="9">
        <v>1</v>
      </c>
      <c r="P73" s="9">
        <v>0.1</v>
      </c>
      <c r="Q73" s="13">
        <f ca="1">IF(T_Coda[[#This Row],[On/Off]]=1,RAND()/IF(T_Coda[[#This Row],[Weighting]]="",1,T_Coda[[#This Row],[Weighting]]),"")</f>
        <v>2.704321163994714</v>
      </c>
      <c r="R73" s="14" t="str" cm="1">
        <f t="array" aca="1" ref="R73" ca="1">IFERROR(INDEX(T_Coda[Coda],MATCH(1,(T_Coda[Random '#]=MIN(T_Coda[Random '#]))*1,0)),"")</f>
        <v>ʕ</v>
      </c>
    </row>
    <row r="74" spans="2:18" x14ac:dyDescent="0.25">
      <c r="B74" s="18" t="s">
        <v>138</v>
      </c>
      <c r="C74" s="9">
        <v>1</v>
      </c>
      <c r="D74" s="9">
        <v>0.1</v>
      </c>
      <c r="E74" s="6">
        <f ca="1">IF(T_Onset[[#This Row],[On/Off]]=1,RAND()/IF(T_Onset[[#This Row],[Weighting]]="",1,T_Onset[[#This Row],[Weighting]]),"")</f>
        <v>6.1586306132844104</v>
      </c>
      <c r="F74" s="15" t="str" cm="1">
        <f t="array" aca="1" ref="F74" ca="1">IFERROR(INDEX(T_Onset[Onset],MATCH(1,(T_Onset[Random '#]=MIN(T_Onset[Random '#]))*1,0)),"")</f>
        <v>ɭ</v>
      </c>
      <c r="N74" s="18" t="s">
        <v>217</v>
      </c>
      <c r="O74" s="9">
        <v>1</v>
      </c>
      <c r="P74" s="9">
        <v>0.1</v>
      </c>
      <c r="Q74" s="13">
        <f ca="1">IF(T_Coda[[#This Row],[On/Off]]=1,RAND()/IF(T_Coda[[#This Row],[Weighting]]="",1,T_Coda[[#This Row],[Weighting]]),"")</f>
        <v>7.625034635671569</v>
      </c>
      <c r="R74" s="14" t="str" cm="1">
        <f t="array" aca="1" ref="R74" ca="1">IFERROR(INDEX(T_Coda[Coda],MATCH(1,(T_Coda[Random '#]=MIN(T_Coda[Random '#]))*1,0)),"")</f>
        <v>ʕ</v>
      </c>
    </row>
    <row r="75" spans="2:18" x14ac:dyDescent="0.25">
      <c r="B75" s="18" t="s">
        <v>128</v>
      </c>
      <c r="C75" s="9">
        <v>1</v>
      </c>
      <c r="D75" s="9">
        <v>0.1</v>
      </c>
      <c r="E75" s="6">
        <f ca="1">IF(T_Onset[[#This Row],[On/Off]]=1,RAND()/IF(T_Onset[[#This Row],[Weighting]]="",1,T_Onset[[#This Row],[Weighting]]),"")</f>
        <v>5.1517107200978325</v>
      </c>
      <c r="F75" s="15" t="str" cm="1">
        <f t="array" aca="1" ref="F75" ca="1">IFERROR(INDEX(T_Onset[Onset],MATCH(1,(T_Onset[Random '#]=MIN(T_Onset[Random '#]))*1,0)),"")</f>
        <v>ɭ</v>
      </c>
      <c r="N75" s="18" t="s">
        <v>186</v>
      </c>
      <c r="O75" s="9">
        <v>1</v>
      </c>
      <c r="P75" s="9">
        <v>0.1</v>
      </c>
      <c r="Q75" s="13">
        <f ca="1">IF(T_Coda[[#This Row],[On/Off]]=1,RAND()/IF(T_Coda[[#This Row],[Weighting]]="",1,T_Coda[[#This Row],[Weighting]]),"")</f>
        <v>5.644998755829163</v>
      </c>
      <c r="R75" s="14" t="str" cm="1">
        <f t="array" aca="1" ref="R75" ca="1">IFERROR(INDEX(T_Coda[Coda],MATCH(1,(T_Coda[Random '#]=MIN(T_Coda[Random '#]))*1,0)),"")</f>
        <v>ʕ</v>
      </c>
    </row>
    <row r="76" spans="2:18" x14ac:dyDescent="0.25">
      <c r="B76" s="18" t="s">
        <v>159</v>
      </c>
      <c r="C76" s="9">
        <v>1</v>
      </c>
      <c r="D76" s="9">
        <v>0.1</v>
      </c>
      <c r="E76" s="6">
        <f ca="1">IF(T_Onset[[#This Row],[On/Off]]=1,RAND()/IF(T_Onset[[#This Row],[Weighting]]="",1,T_Onset[[#This Row],[Weighting]]),"")</f>
        <v>1.1541172425177793</v>
      </c>
      <c r="F76" s="15" t="str" cm="1">
        <f t="array" aca="1" ref="F76" ca="1">IFERROR(INDEX(T_Onset[Onset],MATCH(1,(T_Onset[Random '#]=MIN(T_Onset[Random '#]))*1,0)),"")</f>
        <v>ɭ</v>
      </c>
      <c r="N76" s="18" t="s">
        <v>208</v>
      </c>
      <c r="O76" s="9">
        <v>1</v>
      </c>
      <c r="P76" s="9">
        <v>0.1</v>
      </c>
      <c r="Q76" s="13">
        <f ca="1">IF(T_Coda[[#This Row],[On/Off]]=1,RAND()/IF(T_Coda[[#This Row],[Weighting]]="",1,T_Coda[[#This Row],[Weighting]]),"")</f>
        <v>7.9587205954368594</v>
      </c>
      <c r="R76" s="14" t="str" cm="1">
        <f t="array" aca="1" ref="R76" ca="1">IFERROR(INDEX(T_Coda[Coda],MATCH(1,(T_Coda[Random '#]=MIN(T_Coda[Random '#]))*1,0)),"")</f>
        <v>ʕ</v>
      </c>
    </row>
    <row r="77" spans="2:18" x14ac:dyDescent="0.25">
      <c r="B77" s="18" t="s">
        <v>136</v>
      </c>
      <c r="C77" s="9">
        <v>1</v>
      </c>
      <c r="D77" s="9">
        <v>0.1</v>
      </c>
      <c r="E77" s="6">
        <f ca="1">IF(T_Onset[[#This Row],[On/Off]]=1,RAND()/IF(T_Onset[[#This Row],[Weighting]]="",1,T_Onset[[#This Row],[Weighting]]),"")</f>
        <v>0.18046977946613585</v>
      </c>
      <c r="F77" s="15" t="str" cm="1">
        <f t="array" aca="1" ref="F77" ca="1">IFERROR(INDEX(T_Onset[Onset],MATCH(1,(T_Onset[Random '#]=MIN(T_Onset[Random '#]))*1,0)),"")</f>
        <v>ɭ</v>
      </c>
      <c r="N77" s="18" t="s">
        <v>248</v>
      </c>
      <c r="O77" s="9">
        <v>1</v>
      </c>
      <c r="P77" s="9">
        <v>0.1</v>
      </c>
      <c r="Q77" s="13">
        <f ca="1">IF(T_Coda[[#This Row],[On/Off]]=1,RAND()/IF(T_Coda[[#This Row],[Weighting]]="",1,T_Coda[[#This Row],[Weighting]]),"")</f>
        <v>3.4300326957153393</v>
      </c>
      <c r="R77" s="14" t="str" cm="1">
        <f t="array" aca="1" ref="R77" ca="1">IFERROR(INDEX(T_Coda[Coda],MATCH(1,(T_Coda[Random '#]=MIN(T_Coda[Random '#]))*1,0)),"")</f>
        <v>ʕ</v>
      </c>
    </row>
    <row r="78" spans="2:18" x14ac:dyDescent="0.25">
      <c r="B78" s="18" t="s">
        <v>146</v>
      </c>
      <c r="C78" s="9">
        <v>1</v>
      </c>
      <c r="D78" s="9">
        <v>0.1</v>
      </c>
      <c r="E78" s="6">
        <f ca="1">IF(T_Onset[[#This Row],[On/Off]]=1,RAND()/IF(T_Onset[[#This Row],[Weighting]]="",1,T_Onset[[#This Row],[Weighting]]),"")</f>
        <v>6.2111394160973195</v>
      </c>
      <c r="F78" s="15" t="str" cm="1">
        <f t="array" aca="1" ref="F78" ca="1">IFERROR(INDEX(T_Onset[Onset],MATCH(1,(T_Onset[Random '#]=MIN(T_Onset[Random '#]))*1,0)),"")</f>
        <v>ɭ</v>
      </c>
      <c r="N78" s="18" t="s">
        <v>227</v>
      </c>
      <c r="O78" s="9">
        <v>1</v>
      </c>
      <c r="P78" s="9">
        <v>0.1</v>
      </c>
      <c r="Q78" s="13">
        <f ca="1">IF(T_Coda[[#This Row],[On/Off]]=1,RAND()/IF(T_Coda[[#This Row],[Weighting]]="",1,T_Coda[[#This Row],[Weighting]]),"")</f>
        <v>9.4071568195930819</v>
      </c>
      <c r="R78" s="14" t="str" cm="1">
        <f t="array" aca="1" ref="R78" ca="1">IFERROR(INDEX(T_Coda[Coda],MATCH(1,(T_Coda[Random '#]=MIN(T_Coda[Random '#]))*1,0)),"")</f>
        <v>ʕ</v>
      </c>
    </row>
    <row r="79" spans="2:18" x14ac:dyDescent="0.25">
      <c r="B79" s="18" t="s">
        <v>162</v>
      </c>
      <c r="C79" s="9">
        <v>1</v>
      </c>
      <c r="D79" s="9">
        <v>0.1</v>
      </c>
      <c r="E79" s="6">
        <f ca="1">IF(T_Onset[[#This Row],[On/Off]]=1,RAND()/IF(T_Onset[[#This Row],[Weighting]]="",1,T_Onset[[#This Row],[Weighting]]),"")</f>
        <v>4.9061032936902675</v>
      </c>
      <c r="F79" s="15" t="str" cm="1">
        <f t="array" aca="1" ref="F79" ca="1">IFERROR(INDEX(T_Onset[Onset],MATCH(1,(T_Onset[Random '#]=MIN(T_Onset[Random '#]))*1,0)),"")</f>
        <v>ɭ</v>
      </c>
      <c r="N79" s="18" t="s">
        <v>267</v>
      </c>
      <c r="O79" s="9">
        <v>1</v>
      </c>
      <c r="P79" s="9">
        <v>0.1</v>
      </c>
      <c r="Q79" s="13">
        <f ca="1">IF(T_Coda[[#This Row],[On/Off]]=1,RAND()/IF(T_Coda[[#This Row],[Weighting]]="",1,T_Coda[[#This Row],[Weighting]]),"")</f>
        <v>4.7880827645171191</v>
      </c>
      <c r="R79" s="14" t="str" cm="1">
        <f t="array" aca="1" ref="R79" ca="1">IFERROR(INDEX(T_Coda[Coda],MATCH(1,(T_Coda[Random '#]=MIN(T_Coda[Random '#]))*1,0)),"")</f>
        <v>ʕ</v>
      </c>
    </row>
    <row r="80" spans="2:18" x14ac:dyDescent="0.25">
      <c r="B80" s="18" t="s">
        <v>139</v>
      </c>
      <c r="C80" s="9">
        <v>1</v>
      </c>
      <c r="D80" s="9">
        <v>0.1</v>
      </c>
      <c r="E80" s="6">
        <f ca="1">IF(T_Onset[[#This Row],[On/Off]]=1,RAND()/IF(T_Onset[[#This Row],[Weighting]]="",1,T_Onset[[#This Row],[Weighting]]),"")</f>
        <v>7.8821670167619926</v>
      </c>
      <c r="F80" s="15" t="str" cm="1">
        <f t="array" aca="1" ref="F80" ca="1">IFERROR(INDEX(T_Onset[Onset],MATCH(1,(T_Onset[Random '#]=MIN(T_Onset[Random '#]))*1,0)),"")</f>
        <v>ɭ</v>
      </c>
      <c r="N80" s="18" t="s">
        <v>218</v>
      </c>
      <c r="O80" s="9">
        <v>1</v>
      </c>
      <c r="P80" s="9">
        <v>0.1</v>
      </c>
      <c r="Q80" s="13">
        <f ca="1">IF(T_Coda[[#This Row],[On/Off]]=1,RAND()/IF(T_Coda[[#This Row],[Weighting]]="",1,T_Coda[[#This Row],[Weighting]]),"")</f>
        <v>6.2260856859250202</v>
      </c>
      <c r="R80" s="14" t="str" cm="1">
        <f t="array" aca="1" ref="R80" ca="1">IFERROR(INDEX(T_Coda[Coda],MATCH(1,(T_Coda[Random '#]=MIN(T_Coda[Random '#]))*1,0)),"")</f>
        <v>ʕ</v>
      </c>
    </row>
    <row r="81" spans="2:18" x14ac:dyDescent="0.25">
      <c r="B81" s="18" t="s">
        <v>123</v>
      </c>
      <c r="C81" s="9">
        <v>1</v>
      </c>
      <c r="D81" s="9">
        <v>0.1</v>
      </c>
      <c r="E81" s="6">
        <f ca="1">IF(T_Onset[[#This Row],[On/Off]]=1,RAND()/IF(T_Onset[[#This Row],[Weighting]]="",1,T_Onset[[#This Row],[Weighting]]),"")</f>
        <v>7.0895312145516041</v>
      </c>
      <c r="F81" s="15" t="str" cm="1">
        <f t="array" aca="1" ref="F81" ca="1">IFERROR(INDEX(T_Onset[Onset],MATCH(1,(T_Onset[Random '#]=MIN(T_Onset[Random '#]))*1,0)),"")</f>
        <v>ɭ</v>
      </c>
      <c r="N81" s="18" t="s">
        <v>270</v>
      </c>
      <c r="O81" s="9">
        <v>1</v>
      </c>
      <c r="P81" s="9">
        <v>0.1</v>
      </c>
      <c r="Q81" s="13">
        <f ca="1">IF(T_Coda[[#This Row],[On/Off]]=1,RAND()/IF(T_Coda[[#This Row],[Weighting]]="",1,T_Coda[[#This Row],[Weighting]]),"")</f>
        <v>8.8320815016350664</v>
      </c>
      <c r="R81" s="14" t="str" cm="1">
        <f t="array" aca="1" ref="R81" ca="1">IFERROR(INDEX(T_Coda[Coda],MATCH(1,(T_Coda[Random '#]=MIN(T_Coda[Random '#]))*1,0)),"")</f>
        <v>ʕ</v>
      </c>
    </row>
    <row r="82" spans="2:18" x14ac:dyDescent="0.25">
      <c r="B82" s="18" t="s">
        <v>148</v>
      </c>
      <c r="C82" s="9">
        <v>1</v>
      </c>
      <c r="D82" s="9">
        <v>0.1</v>
      </c>
      <c r="E82" s="6">
        <f ca="1">IF(T_Onset[[#This Row],[On/Off]]=1,RAND()/IF(T_Onset[[#This Row],[Weighting]]="",1,T_Onset[[#This Row],[Weighting]]),"")</f>
        <v>9.3172742606734236</v>
      </c>
      <c r="F82" s="15" t="str" cm="1">
        <f t="array" aca="1" ref="F82" ca="1">IFERROR(INDEX(T_Onset[Onset],MATCH(1,(T_Onset[Random '#]=MIN(T_Onset[Random '#]))*1,0)),"")</f>
        <v>ɭ</v>
      </c>
      <c r="N82" s="18" t="s">
        <v>209</v>
      </c>
      <c r="O82" s="9">
        <v>1</v>
      </c>
      <c r="P82" s="9">
        <v>0.1</v>
      </c>
      <c r="Q82" s="13">
        <f ca="1">IF(T_Coda[[#This Row],[On/Off]]=1,RAND()/IF(T_Coda[[#This Row],[Weighting]]="",1,T_Coda[[#This Row],[Weighting]]),"")</f>
        <v>7.8169641629667659</v>
      </c>
      <c r="R82" s="14" t="str" cm="1">
        <f t="array" aca="1" ref="R82" ca="1">IFERROR(INDEX(T_Coda[Coda],MATCH(1,(T_Coda[Random '#]=MIN(T_Coda[Random '#]))*1,0)),"")</f>
        <v>ʕ</v>
      </c>
    </row>
    <row r="83" spans="2:18" x14ac:dyDescent="0.25">
      <c r="B83" s="18" t="s">
        <v>125</v>
      </c>
      <c r="C83" s="9">
        <v>1</v>
      </c>
      <c r="D83" s="9">
        <v>0.1</v>
      </c>
      <c r="E83" s="6">
        <f ca="1">IF(T_Onset[[#This Row],[On/Off]]=1,RAND()/IF(T_Onset[[#This Row],[Weighting]]="",1,T_Onset[[#This Row],[Weighting]]),"")</f>
        <v>8.7693747385507592</v>
      </c>
      <c r="F83" s="15" t="str" cm="1">
        <f t="array" aca="1" ref="F83" ca="1">IFERROR(INDEX(T_Onset[Onset],MATCH(1,(T_Onset[Random '#]=MIN(T_Onset[Random '#]))*1,0)),"")</f>
        <v>ɭ</v>
      </c>
      <c r="N83" s="18" t="s">
        <v>268</v>
      </c>
      <c r="O83" s="9">
        <v>1</v>
      </c>
      <c r="P83" s="9">
        <v>0.1</v>
      </c>
      <c r="Q83" s="13">
        <f ca="1">IF(T_Coda[[#This Row],[On/Off]]=1,RAND()/IF(T_Coda[[#This Row],[Weighting]]="",1,T_Coda[[#This Row],[Weighting]]),"")</f>
        <v>1.3630790961181649</v>
      </c>
      <c r="R83" s="14" t="str" cm="1">
        <f t="array" aca="1" ref="R83" ca="1">IFERROR(INDEX(T_Coda[Coda],MATCH(1,(T_Coda[Random '#]=MIN(T_Coda[Random '#]))*1,0)),"")</f>
        <v>ʕ</v>
      </c>
    </row>
    <row r="84" spans="2:18" x14ac:dyDescent="0.25">
      <c r="B84" s="18" t="s">
        <v>124</v>
      </c>
      <c r="C84" s="9">
        <v>1</v>
      </c>
      <c r="D84" s="9">
        <v>0.1</v>
      </c>
      <c r="E84" s="6">
        <f ca="1">IF(T_Onset[[#This Row],[On/Off]]=1,RAND()/IF(T_Onset[[#This Row],[Weighting]]="",1,T_Onset[[#This Row],[Weighting]]),"")</f>
        <v>7.7012022829612379</v>
      </c>
      <c r="F84" s="15" t="str" cm="1">
        <f t="array" aca="1" ref="F84" ca="1">IFERROR(INDEX(T_Onset[Onset],MATCH(1,(T_Onset[Random '#]=MIN(T_Onset[Random '#]))*1,0)),"")</f>
        <v>ɭ</v>
      </c>
      <c r="N84" s="18" t="s">
        <v>219</v>
      </c>
      <c r="O84" s="9">
        <v>1</v>
      </c>
      <c r="P84" s="9">
        <v>0.1</v>
      </c>
      <c r="Q84" s="13">
        <f ca="1">IF(T_Coda[[#This Row],[On/Off]]=1,RAND()/IF(T_Coda[[#This Row],[Weighting]]="",1,T_Coda[[#This Row],[Weighting]]),"")</f>
        <v>2.231236149678566</v>
      </c>
      <c r="R84" s="14" t="str" cm="1">
        <f t="array" aca="1" ref="R84" ca="1">IFERROR(INDEX(T_Coda[Coda],MATCH(1,(T_Coda[Random '#]=MIN(T_Coda[Random '#]))*1,0)),"")</f>
        <v>ʕ</v>
      </c>
    </row>
    <row r="85" spans="2:18" x14ac:dyDescent="0.25">
      <c r="B85" s="18" t="s">
        <v>160</v>
      </c>
      <c r="C85" s="9">
        <v>1</v>
      </c>
      <c r="D85" s="9">
        <v>0.1</v>
      </c>
      <c r="E85" s="6">
        <f ca="1">IF(T_Onset[[#This Row],[On/Off]]=1,RAND()/IF(T_Onset[[#This Row],[Weighting]]="",1,T_Onset[[#This Row],[Weighting]]),"")</f>
        <v>5.6377582966914161</v>
      </c>
      <c r="F85" s="15" t="str" cm="1">
        <f t="array" aca="1" ref="F85" ca="1">IFERROR(INDEX(T_Onset[Onset],MATCH(1,(T_Onset[Random '#]=MIN(T_Onset[Random '#]))*1,0)),"")</f>
        <v>ɭ</v>
      </c>
      <c r="N85" s="18" t="s">
        <v>249</v>
      </c>
      <c r="O85" s="9">
        <v>1</v>
      </c>
      <c r="P85" s="9">
        <v>0.1</v>
      </c>
      <c r="Q85" s="13">
        <f ca="1">IF(T_Coda[[#This Row],[On/Off]]=1,RAND()/IF(T_Coda[[#This Row],[Weighting]]="",1,T_Coda[[#This Row],[Weighting]]),"")</f>
        <v>1.7043970116088492E-2</v>
      </c>
      <c r="R85" s="14" t="str" cm="1">
        <f t="array" aca="1" ref="R85" ca="1">IFERROR(INDEX(T_Coda[Coda],MATCH(1,(T_Coda[Random '#]=MIN(T_Coda[Random '#]))*1,0)),"")</f>
        <v>ʕ</v>
      </c>
    </row>
    <row r="86" spans="2:18" x14ac:dyDescent="0.25">
      <c r="B86" s="18" t="s">
        <v>137</v>
      </c>
      <c r="C86" s="9">
        <v>1</v>
      </c>
      <c r="D86" s="9">
        <v>0.1</v>
      </c>
      <c r="E86" s="6">
        <f ca="1">IF(T_Onset[[#This Row],[On/Off]]=1,RAND()/IF(T_Onset[[#This Row],[Weighting]]="",1,T_Onset[[#This Row],[Weighting]]),"")</f>
        <v>7.3081332827157057</v>
      </c>
      <c r="F86" s="15" t="str" cm="1">
        <f t="array" aca="1" ref="F86" ca="1">IFERROR(INDEX(T_Onset[Onset],MATCH(1,(T_Onset[Random '#]=MIN(T_Onset[Random '#]))*1,0)),"")</f>
        <v>ɭ</v>
      </c>
      <c r="N86" s="18" t="s">
        <v>199</v>
      </c>
      <c r="O86" s="9">
        <v>1</v>
      </c>
      <c r="P86" s="9">
        <v>0.1</v>
      </c>
      <c r="Q86" s="13">
        <f ca="1">IF(T_Coda[[#This Row],[On/Off]]=1,RAND()/IF(T_Coda[[#This Row],[Weighting]]="",1,T_Coda[[#This Row],[Weighting]]),"")</f>
        <v>3.1187362905169578</v>
      </c>
      <c r="R86" s="14" t="str" cm="1">
        <f t="array" aca="1" ref="R86" ca="1">IFERROR(INDEX(T_Coda[Coda],MATCH(1,(T_Coda[Random '#]=MIN(T_Coda[Random '#]))*1,0)),"")</f>
        <v>ʕ</v>
      </c>
    </row>
    <row r="87" spans="2:18" x14ac:dyDescent="0.25">
      <c r="B87" s="18" t="s">
        <v>127</v>
      </c>
      <c r="C87" s="9">
        <v>1</v>
      </c>
      <c r="D87" s="9">
        <v>0.1</v>
      </c>
      <c r="E87" s="6">
        <f ca="1">IF(T_Onset[[#This Row],[On/Off]]=1,RAND()/IF(T_Onset[[#This Row],[Weighting]]="",1,T_Onset[[#This Row],[Weighting]]),"")</f>
        <v>7.4027109783592113</v>
      </c>
      <c r="F87" s="15" t="str" cm="1">
        <f t="array" aca="1" ref="F87" ca="1">IFERROR(INDEX(T_Onset[Onset],MATCH(1,(T_Onset[Random '#]=MIN(T_Onset[Random '#]))*1,0)),"")</f>
        <v>ɭ</v>
      </c>
      <c r="N87" s="18" t="s">
        <v>269</v>
      </c>
      <c r="O87" s="9">
        <v>1</v>
      </c>
      <c r="P87" s="9">
        <v>0.1</v>
      </c>
      <c r="Q87" s="13">
        <f ca="1">IF(T_Coda[[#This Row],[On/Off]]=1,RAND()/IF(T_Coda[[#This Row],[Weighting]]="",1,T_Coda[[#This Row],[Weighting]]),"")</f>
        <v>3.5754098808630963</v>
      </c>
      <c r="R87" s="14" t="str" cm="1">
        <f t="array" aca="1" ref="R87" ca="1">IFERROR(INDEX(T_Coda[Coda],MATCH(1,(T_Coda[Random '#]=MIN(T_Coda[Random '#]))*1,0)),"")</f>
        <v>ʕ</v>
      </c>
    </row>
    <row r="88" spans="2:18" x14ac:dyDescent="0.25">
      <c r="B88" s="18" t="s">
        <v>147</v>
      </c>
      <c r="C88" s="9">
        <v>1</v>
      </c>
      <c r="D88" s="9">
        <v>0.1</v>
      </c>
      <c r="E88" s="6">
        <f ca="1">IF(T_Onset[[#This Row],[On/Off]]=1,RAND()/IF(T_Onset[[#This Row],[Weighting]]="",1,T_Onset[[#This Row],[Weighting]]),"")</f>
        <v>4.4062625781443021</v>
      </c>
      <c r="F88" s="15" t="str" cm="1">
        <f t="array" aca="1" ref="F88" ca="1">IFERROR(INDEX(T_Onset[Onset],MATCH(1,(T_Onset[Random '#]=MIN(T_Onset[Random '#]))*1,0)),"")</f>
        <v>ɭ</v>
      </c>
      <c r="N88" s="18" t="s">
        <v>297</v>
      </c>
      <c r="O88" s="9">
        <v>1</v>
      </c>
      <c r="P88" s="9">
        <v>0.1</v>
      </c>
      <c r="Q88" s="13">
        <f ca="1">IF(T_Coda[[#This Row],[On/Off]]=1,RAND()/IF(T_Coda[[#This Row],[Weighting]]="",1,T_Coda[[#This Row],[Weighting]]),"")</f>
        <v>7.5472630575303716</v>
      </c>
      <c r="R88" s="14" t="str" cm="1">
        <f t="array" aca="1" ref="R88" ca="1">IFERROR(INDEX(T_Coda[Coda],MATCH(1,(T_Coda[Random '#]=MIN(T_Coda[Random '#]))*1,0)),"")</f>
        <v>ʕ</v>
      </c>
    </row>
    <row r="89" spans="2:18" x14ac:dyDescent="0.25">
      <c r="B89" s="18" t="s">
        <v>301</v>
      </c>
      <c r="C89" s="9">
        <v>1</v>
      </c>
      <c r="D89" s="9">
        <v>0.1</v>
      </c>
      <c r="E89" s="6">
        <f ca="1">IF(T_Onset[[#This Row],[On/Off]]=1,RAND()/IF(T_Onset[[#This Row],[Weighting]]="",1,T_Onset[[#This Row],[Weighting]]),"")</f>
        <v>2.1770418250221666</v>
      </c>
      <c r="F89" s="15" t="str" cm="1">
        <f t="array" aca="1" ref="F89" ca="1">IFERROR(INDEX(T_Onset[Onset],MATCH(1,(T_Onset[Random '#]=MIN(T_Onset[Random '#]))*1,0)),"")</f>
        <v>ɭ</v>
      </c>
      <c r="N89" s="18" t="s">
        <v>220</v>
      </c>
      <c r="O89" s="9">
        <v>1</v>
      </c>
      <c r="P89" s="9">
        <v>0.1</v>
      </c>
      <c r="Q89" s="13">
        <f ca="1">IF(T_Coda[[#This Row],[On/Off]]=1,RAND()/IF(T_Coda[[#This Row],[Weighting]]="",1,T_Coda[[#This Row],[Weighting]]),"")</f>
        <v>6.8026967459551697</v>
      </c>
      <c r="R89" s="14" t="str" cm="1">
        <f t="array" aca="1" ref="R89" ca="1">IFERROR(INDEX(T_Coda[Coda],MATCH(1,(T_Coda[Random '#]=MIN(T_Coda[Random '#]))*1,0)),"")</f>
        <v>ʕ</v>
      </c>
    </row>
    <row r="90" spans="2:18" x14ac:dyDescent="0.25">
      <c r="B90" s="18" t="s">
        <v>302</v>
      </c>
      <c r="C90" s="9">
        <v>1</v>
      </c>
      <c r="D90" s="9">
        <v>0.1</v>
      </c>
      <c r="E90" s="6">
        <f ca="1">IF(T_Onset[[#This Row],[On/Off]]=1,RAND()/IF(T_Onset[[#This Row],[Weighting]]="",1,T_Onset[[#This Row],[Weighting]]),"")</f>
        <v>2.7078658452252955</v>
      </c>
      <c r="F90" s="15" t="str" cm="1">
        <f t="array" aca="1" ref="F90" ca="1">IFERROR(INDEX(T_Onset[Onset],MATCH(1,(T_Onset[Random '#]=MIN(T_Onset[Random '#]))*1,0)),"")</f>
        <v>ɭ</v>
      </c>
      <c r="N90" s="18" t="s">
        <v>305</v>
      </c>
      <c r="O90" s="9">
        <v>1</v>
      </c>
      <c r="P90" s="9">
        <v>0.1</v>
      </c>
      <c r="Q90" s="13">
        <f ca="1">IF(T_Coda[[#This Row],[On/Off]]=1,RAND()/IF(T_Coda[[#This Row],[Weighting]]="",1,T_Coda[[#This Row],[Weighting]]),"")</f>
        <v>4.0365441565031457</v>
      </c>
      <c r="R90" s="14" t="str" cm="1">
        <f t="array" aca="1" ref="R90" ca="1">IFERROR(INDEX(T_Coda[Coda],MATCH(1,(T_Coda[Random '#]=MIN(T_Coda[Random '#]))*1,0)),"")</f>
        <v>ʕ</v>
      </c>
    </row>
    <row r="91" spans="2:18" x14ac:dyDescent="0.25">
      <c r="B91" s="18" t="s">
        <v>303</v>
      </c>
      <c r="C91" s="9">
        <v>1</v>
      </c>
      <c r="D91" s="9">
        <v>0.1</v>
      </c>
      <c r="E91" s="6">
        <f ca="1">IF(T_Onset[[#This Row],[On/Off]]=1,RAND()/IF(T_Onset[[#This Row],[Weighting]]="",1,T_Onset[[#This Row],[Weighting]]),"")</f>
        <v>9.5393348880355759</v>
      </c>
      <c r="F91" s="15" t="str" cm="1">
        <f t="array" aca="1" ref="F91" ca="1">IFERROR(INDEX(T_Onset[Onset],MATCH(1,(T_Onset[Random '#]=MIN(T_Onset[Random '#]))*1,0)),"")</f>
        <v>ɭ</v>
      </c>
      <c r="N91" s="18" t="s">
        <v>306</v>
      </c>
      <c r="O91" s="9">
        <v>1</v>
      </c>
      <c r="P91" s="9">
        <v>0.1</v>
      </c>
      <c r="Q91" s="13">
        <f ca="1">IF(T_Coda[[#This Row],[On/Off]]=1,RAND()/IF(T_Coda[[#This Row],[Weighting]]="",1,T_Coda[[#This Row],[Weighting]]),"")</f>
        <v>9.8650023451634397</v>
      </c>
      <c r="R91" s="14" t="str" cm="1">
        <f t="array" aca="1" ref="R91" ca="1">IFERROR(INDEX(T_Coda[Coda],MATCH(1,(T_Coda[Random '#]=MIN(T_Coda[Random '#]))*1,0)),"")</f>
        <v>ʕ</v>
      </c>
    </row>
    <row r="92" spans="2:18" x14ac:dyDescent="0.25">
      <c r="B92" s="18" t="s">
        <v>304</v>
      </c>
      <c r="C92" s="9">
        <v>1</v>
      </c>
      <c r="D92" s="9">
        <v>0.1</v>
      </c>
      <c r="E92" s="6">
        <f ca="1">IF(T_Onset[[#This Row],[On/Off]]=1,RAND()/IF(T_Onset[[#This Row],[Weighting]]="",1,T_Onset[[#This Row],[Weighting]]),"")</f>
        <v>9.0832098344276666</v>
      </c>
      <c r="F92" s="15" t="str" cm="1">
        <f t="array" aca="1" ref="F92" ca="1">IFERROR(INDEX(T_Onset[Onset],MATCH(1,(T_Onset[Random '#]=MIN(T_Onset[Random '#]))*1,0)),"")</f>
        <v>ɭ</v>
      </c>
      <c r="N92" s="18" t="s">
        <v>271</v>
      </c>
      <c r="O92" s="9">
        <v>1</v>
      </c>
      <c r="P92" s="9">
        <v>0.1</v>
      </c>
      <c r="Q92" s="13">
        <f ca="1">IF(T_Coda[[#This Row],[On/Off]]=1,RAND()/IF(T_Coda[[#This Row],[Weighting]]="",1,T_Coda[[#This Row],[Weighting]]),"")</f>
        <v>5.2535671722330752</v>
      </c>
      <c r="R92" s="14" t="str" cm="1">
        <f t="array" aca="1" ref="R92" ca="1">IFERROR(INDEX(T_Coda[Coda],MATCH(1,(T_Coda[Random '#]=MIN(T_Coda[Random '#]))*1,0)),"")</f>
        <v>ʕ</v>
      </c>
    </row>
    <row r="93" spans="2:18" x14ac:dyDescent="0.25">
      <c r="B93" s="18" t="s">
        <v>140</v>
      </c>
      <c r="C93" s="9">
        <v>1</v>
      </c>
      <c r="D93" s="9">
        <v>0.1</v>
      </c>
      <c r="E93" s="6">
        <f ca="1">IF(T_Onset[[#This Row],[On/Off]]=1,RAND()/IF(T_Onset[[#This Row],[Weighting]]="",1,T_Onset[[#This Row],[Weighting]]),"")</f>
        <v>8.9976992968399685</v>
      </c>
      <c r="F93" s="15" t="str" cm="1">
        <f t="array" aca="1" ref="F93" ca="1">IFERROR(INDEX(T_Onset[Onset],MATCH(1,(T_Onset[Random '#]=MIN(T_Onset[Random '#]))*1,0)),"")</f>
        <v>ɭ</v>
      </c>
      <c r="N93" s="18" t="s">
        <v>250</v>
      </c>
      <c r="O93" s="9">
        <v>1</v>
      </c>
      <c r="P93" s="9">
        <v>0.1</v>
      </c>
      <c r="Q93" s="13">
        <f ca="1">IF(T_Coda[[#This Row],[On/Off]]=1,RAND()/IF(T_Coda[[#This Row],[Weighting]]="",1,T_Coda[[#This Row],[Weighting]]),"")</f>
        <v>3.6430359362889231</v>
      </c>
      <c r="R93" s="14" t="str" cm="1">
        <f t="array" aca="1" ref="R93" ca="1">IFERROR(INDEX(T_Coda[Coda],MATCH(1,(T_Coda[Random '#]=MIN(T_Coda[Random '#]))*1,0)),"")</f>
        <v>ʕ</v>
      </c>
    </row>
    <row r="94" spans="2:18" x14ac:dyDescent="0.25">
      <c r="B94" s="18" t="s">
        <v>153</v>
      </c>
      <c r="C94" s="9">
        <v>1</v>
      </c>
      <c r="D94" s="9">
        <v>0.1</v>
      </c>
      <c r="E94" s="6">
        <f ca="1">IF(T_Onset[[#This Row],[On/Off]]=1,RAND()/IF(T_Onset[[#This Row],[Weighting]]="",1,T_Onset[[#This Row],[Weighting]]),"")</f>
        <v>4.9660366245054597</v>
      </c>
      <c r="F94" s="15" t="str" cm="1">
        <f t="array" aca="1" ref="F94" ca="1">IFERROR(INDEX(T_Onset[Onset],MATCH(1,(T_Onset[Random '#]=MIN(T_Onset[Random '#]))*1,0)),"")</f>
        <v>ɭ</v>
      </c>
      <c r="N94" s="18" t="s">
        <v>232</v>
      </c>
      <c r="O94" s="9">
        <v>1</v>
      </c>
      <c r="P94" s="9">
        <v>0.1</v>
      </c>
      <c r="Q94" s="13">
        <f ca="1">IF(T_Coda[[#This Row],[On/Off]]=1,RAND()/IF(T_Coda[[#This Row],[Weighting]]="",1,T_Coda[[#This Row],[Weighting]]),"")</f>
        <v>0.77934585109425414</v>
      </c>
      <c r="R94" s="14" t="str" cm="1">
        <f t="array" aca="1" ref="R94" ca="1">IFERROR(INDEX(T_Coda[Coda],MATCH(1,(T_Coda[Random '#]=MIN(T_Coda[Random '#]))*1,0)),"")</f>
        <v>ʕ</v>
      </c>
    </row>
    <row r="95" spans="2:18" x14ac:dyDescent="0.25">
      <c r="B95" s="18" t="s">
        <v>168</v>
      </c>
      <c r="C95" s="9">
        <v>1</v>
      </c>
      <c r="D95" s="9">
        <v>0.1</v>
      </c>
      <c r="E95" s="6">
        <f ca="1">IF(T_Onset[[#This Row],[On/Off]]=1,RAND()/IF(T_Onset[[#This Row],[Weighting]]="",1,T_Onset[[#This Row],[Weighting]]),"")</f>
        <v>4.7614169674079774</v>
      </c>
      <c r="F95" s="15" t="str" cm="1">
        <f t="array" aca="1" ref="F95" ca="1">IFERROR(INDEX(T_Onset[Onset],MATCH(1,(T_Onset[Random '#]=MIN(T_Onset[Random '#]))*1,0)),"")</f>
        <v>ɭ</v>
      </c>
      <c r="N95" s="18" t="s">
        <v>188</v>
      </c>
      <c r="O95" s="9">
        <v>1</v>
      </c>
      <c r="P95" s="9">
        <v>0.1</v>
      </c>
      <c r="Q95" s="13">
        <f ca="1">IF(T_Coda[[#This Row],[On/Off]]=1,RAND()/IF(T_Coda[[#This Row],[Weighting]]="",1,T_Coda[[#This Row],[Weighting]]),"")</f>
        <v>7.3383239643078406</v>
      </c>
      <c r="R95" s="14" t="str" cm="1">
        <f t="array" aca="1" ref="R95" ca="1">IFERROR(INDEX(T_Coda[Coda],MATCH(1,(T_Coda[Random '#]=MIN(T_Coda[Random '#]))*1,0)),"")</f>
        <v>ʕ</v>
      </c>
    </row>
    <row r="96" spans="2:18" x14ac:dyDescent="0.25">
      <c r="B96" s="18" t="s">
        <v>141</v>
      </c>
      <c r="C96" s="9">
        <v>1</v>
      </c>
      <c r="D96" s="9">
        <v>0.1</v>
      </c>
      <c r="E96" s="6">
        <f ca="1">IF(T_Onset[[#This Row],[On/Off]]=1,RAND()/IF(T_Onset[[#This Row],[Weighting]]="",1,T_Onset[[#This Row],[Weighting]]),"")</f>
        <v>8.1297254264341685</v>
      </c>
      <c r="F96" s="15" t="str" cm="1">
        <f t="array" aca="1" ref="F96" ca="1">IFERROR(INDEX(T_Onset[Onset],MATCH(1,(T_Onset[Random '#]=MIN(T_Onset[Random '#]))*1,0)),"")</f>
        <v>ɭ</v>
      </c>
      <c r="N96" s="18" t="s">
        <v>251</v>
      </c>
      <c r="O96" s="9">
        <v>1</v>
      </c>
      <c r="P96" s="9">
        <v>0.1</v>
      </c>
      <c r="Q96" s="13">
        <f ca="1">IF(T_Coda[[#This Row],[On/Off]]=1,RAND()/IF(T_Coda[[#This Row],[Weighting]]="",1,T_Coda[[#This Row],[Weighting]]),"")</f>
        <v>0.28658361630419571</v>
      </c>
      <c r="R96" s="14" t="str" cm="1">
        <f t="array" aca="1" ref="R96" ca="1">IFERROR(INDEX(T_Coda[Coda],MATCH(1,(T_Coda[Random '#]=MIN(T_Coda[Random '#]))*1,0)),"")</f>
        <v>ʕ</v>
      </c>
    </row>
    <row r="97" spans="2:18" x14ac:dyDescent="0.25">
      <c r="B97" s="18" t="s">
        <v>152</v>
      </c>
      <c r="C97" s="9">
        <v>1</v>
      </c>
      <c r="D97" s="9">
        <v>0.1</v>
      </c>
      <c r="E97" s="6">
        <f ca="1">IF(T_Onset[[#This Row],[On/Off]]=1,RAND()/IF(T_Onset[[#This Row],[Weighting]]="",1,T_Onset[[#This Row],[Weighting]]),"")</f>
        <v>0.77656704348090022</v>
      </c>
      <c r="F97" s="15" t="str" cm="1">
        <f t="array" aca="1" ref="F97" ca="1">IFERROR(INDEX(T_Onset[Onset],MATCH(1,(T_Onset[Random '#]=MIN(T_Onset[Random '#]))*1,0)),"")</f>
        <v>ɭ</v>
      </c>
      <c r="N97" s="18" t="s">
        <v>236</v>
      </c>
      <c r="O97" s="9">
        <v>1</v>
      </c>
      <c r="P97" s="9">
        <v>0.1</v>
      </c>
      <c r="Q97" s="13">
        <f ca="1">IF(T_Coda[[#This Row],[On/Off]]=1,RAND()/IF(T_Coda[[#This Row],[Weighting]]="",1,T_Coda[[#This Row],[Weighting]]),"")</f>
        <v>4.6120664413204615</v>
      </c>
      <c r="R97" s="14" t="str" cm="1">
        <f t="array" aca="1" ref="R97" ca="1">IFERROR(INDEX(T_Coda[Coda],MATCH(1,(T_Coda[Random '#]=MIN(T_Coda[Random '#]))*1,0)),"")</f>
        <v>ʕ</v>
      </c>
    </row>
    <row r="98" spans="2:18" x14ac:dyDescent="0.25">
      <c r="B98" s="18" t="s">
        <v>142</v>
      </c>
      <c r="C98" s="9">
        <v>1</v>
      </c>
      <c r="D98" s="9">
        <v>0.1</v>
      </c>
      <c r="E98" s="6">
        <f ca="1">IF(T_Onset[[#This Row],[On/Off]]=1,RAND()/IF(T_Onset[[#This Row],[Weighting]]="",1,T_Onset[[#This Row],[Weighting]]),"")</f>
        <v>8.9888592276213739</v>
      </c>
      <c r="F98" s="15" t="str" cm="1">
        <f t="array" aca="1" ref="F98" ca="1">IFERROR(INDEX(T_Onset[Onset],MATCH(1,(T_Onset[Random '#]=MIN(T_Onset[Random '#]))*1,0)),"")</f>
        <v>ɭ</v>
      </c>
      <c r="N98" s="18" t="s">
        <v>228</v>
      </c>
      <c r="O98" s="9">
        <v>1</v>
      </c>
      <c r="P98" s="9">
        <v>0.1</v>
      </c>
      <c r="Q98" s="13">
        <f ca="1">IF(T_Coda[[#This Row],[On/Off]]=1,RAND()/IF(T_Coda[[#This Row],[Weighting]]="",1,T_Coda[[#This Row],[Weighting]]),"")</f>
        <v>4.8072623740140124</v>
      </c>
      <c r="R98" s="14" t="str" cm="1">
        <f t="array" aca="1" ref="R98" ca="1">IFERROR(INDEX(T_Coda[Coda],MATCH(1,(T_Coda[Random '#]=MIN(T_Coda[Random '#]))*1,0)),"")</f>
        <v>ʕ</v>
      </c>
    </row>
    <row r="99" spans="2:18" x14ac:dyDescent="0.25">
      <c r="B99" s="18" t="s">
        <v>151</v>
      </c>
      <c r="C99" s="9">
        <v>1</v>
      </c>
      <c r="D99" s="9">
        <v>0.1</v>
      </c>
      <c r="E99" s="6">
        <f ca="1">IF(T_Onset[[#This Row],[On/Off]]=1,RAND()/IF(T_Onset[[#This Row],[Weighting]]="",1,T_Onset[[#This Row],[Weighting]]),"")</f>
        <v>1.6052886006455902</v>
      </c>
      <c r="F99" s="15" t="str" cm="1">
        <f t="array" aca="1" ref="F99" ca="1">IFERROR(INDEX(T_Onset[Onset],MATCH(1,(T_Onset[Random '#]=MIN(T_Onset[Random '#]))*1,0)),"")</f>
        <v>ɭ</v>
      </c>
      <c r="N99" s="18" t="s">
        <v>210</v>
      </c>
      <c r="O99" s="9">
        <v>1</v>
      </c>
      <c r="P99" s="9">
        <v>0.1</v>
      </c>
      <c r="Q99" s="13">
        <f ca="1">IF(T_Coda[[#This Row],[On/Off]]=1,RAND()/IF(T_Coda[[#This Row],[Weighting]]="",1,T_Coda[[#This Row],[Weighting]]),"")</f>
        <v>5.1510508006086386</v>
      </c>
      <c r="R99" s="14" t="str" cm="1">
        <f t="array" aca="1" ref="R99" ca="1">IFERROR(INDEX(T_Coda[Coda],MATCH(1,(T_Coda[Random '#]=MIN(T_Coda[Random '#]))*1,0)),"")</f>
        <v>ʕ</v>
      </c>
    </row>
    <row r="100" spans="2:18" x14ac:dyDescent="0.25">
      <c r="B100" s="18" t="s">
        <v>163</v>
      </c>
      <c r="C100" s="9">
        <v>1</v>
      </c>
      <c r="D100" s="9">
        <v>0.1</v>
      </c>
      <c r="E100" s="6">
        <f ca="1">IF(T_Onset[[#This Row],[On/Off]]=1,RAND()/IF(T_Onset[[#This Row],[Weighting]]="",1,T_Onset[[#This Row],[Weighting]]),"")</f>
        <v>1.8066245663190217</v>
      </c>
      <c r="F100" s="15" t="str" cm="1">
        <f t="array" aca="1" ref="F100" ca="1">IFERROR(INDEX(T_Onset[Onset],MATCH(1,(T_Onset[Random '#]=MIN(T_Onset[Random '#]))*1,0)),"")</f>
        <v>ɭ</v>
      </c>
      <c r="N100" s="18" t="s">
        <v>298</v>
      </c>
      <c r="O100" s="9">
        <v>1</v>
      </c>
      <c r="P100" s="9">
        <v>0.1</v>
      </c>
      <c r="Q100" s="13">
        <f ca="1">IF(T_Coda[[#This Row],[On/Off]]=1,RAND()/IF(T_Coda[[#This Row],[Weighting]]="",1,T_Coda[[#This Row],[Weighting]]),"")</f>
        <v>0.19945612173396632</v>
      </c>
      <c r="R100" s="14" t="str" cm="1">
        <f t="array" aca="1" ref="R100" ca="1">IFERROR(INDEX(T_Coda[Coda],MATCH(1,(T_Coda[Random '#]=MIN(T_Coda[Random '#]))*1,0)),"")</f>
        <v>ʕ</v>
      </c>
    </row>
    <row r="101" spans="2:18" x14ac:dyDescent="0.25">
      <c r="B101" s="18" t="s">
        <v>129</v>
      </c>
      <c r="C101" s="9">
        <v>1</v>
      </c>
      <c r="D101" s="9">
        <v>0.1</v>
      </c>
      <c r="E101" s="6">
        <f ca="1">IF(T_Onset[[#This Row],[On/Off]]=1,RAND()/IF(T_Onset[[#This Row],[Weighting]]="",1,T_Onset[[#This Row],[Weighting]]),"")</f>
        <v>1.1923830227957255</v>
      </c>
      <c r="F101" s="15" t="str" cm="1">
        <f t="array" aca="1" ref="F101" ca="1">IFERROR(INDEX(T_Onset[Onset],MATCH(1,(T_Onset[Random '#]=MIN(T_Onset[Random '#]))*1,0)),"")</f>
        <v>ɭ</v>
      </c>
      <c r="N101" s="18" t="s">
        <v>252</v>
      </c>
      <c r="O101" s="9">
        <v>1</v>
      </c>
      <c r="P101" s="9">
        <v>0.1</v>
      </c>
      <c r="Q101" s="13">
        <f ca="1">IF(T_Coda[[#This Row],[On/Off]]=1,RAND()/IF(T_Coda[[#This Row],[Weighting]]="",1,T_Coda[[#This Row],[Weighting]]),"")</f>
        <v>4.2538020165527666</v>
      </c>
      <c r="R101" s="14" t="str" cm="1">
        <f t="array" aca="1" ref="R101" ca="1">IFERROR(INDEX(T_Coda[Coda],MATCH(1,(T_Coda[Random '#]=MIN(T_Coda[Random '#]))*1,0)),"")</f>
        <v>ʕ</v>
      </c>
    </row>
    <row r="102" spans="2:18" x14ac:dyDescent="0.25">
      <c r="B102" s="18" t="s">
        <v>164</v>
      </c>
      <c r="C102" s="9">
        <v>1</v>
      </c>
      <c r="D102" s="9">
        <v>0.1</v>
      </c>
      <c r="E102" s="6">
        <f ca="1">IF(T_Onset[[#This Row],[On/Off]]=1,RAND()/IF(T_Onset[[#This Row],[Weighting]]="",1,T_Onset[[#This Row],[Weighting]]),"")</f>
        <v>8.381102903333014</v>
      </c>
      <c r="F102" s="15" t="str" cm="1">
        <f t="array" aca="1" ref="F102" ca="1">IFERROR(INDEX(T_Onset[Onset],MATCH(1,(T_Onset[Random '#]=MIN(T_Onset[Random '#]))*1,0)),"")</f>
        <v>ɭ</v>
      </c>
      <c r="N102" s="18" t="s">
        <v>201</v>
      </c>
      <c r="O102" s="9">
        <v>1</v>
      </c>
      <c r="P102" s="9">
        <v>0.1</v>
      </c>
      <c r="Q102" s="13">
        <f ca="1">IF(T_Coda[[#This Row],[On/Off]]=1,RAND()/IF(T_Coda[[#This Row],[Weighting]]="",1,T_Coda[[#This Row],[Weighting]]),"")</f>
        <v>9.519249694925028</v>
      </c>
      <c r="R102" s="14" t="str" cm="1">
        <f t="array" aca="1" ref="R102" ca="1">IFERROR(INDEX(T_Coda[Coda],MATCH(1,(T_Coda[Random '#]=MIN(T_Coda[Random '#]))*1,0)),"")</f>
        <v>ʕ</v>
      </c>
    </row>
    <row r="103" spans="2:18" x14ac:dyDescent="0.25">
      <c r="B103" s="18" t="s">
        <v>130</v>
      </c>
      <c r="C103" s="9">
        <v>1</v>
      </c>
      <c r="D103" s="9">
        <v>0.1</v>
      </c>
      <c r="E103" s="6">
        <f ca="1">IF(T_Onset[[#This Row],[On/Off]]=1,RAND()/IF(T_Onset[[#This Row],[Weighting]]="",1,T_Onset[[#This Row],[Weighting]]),"")</f>
        <v>4.2259070124984719</v>
      </c>
      <c r="F103" s="15" t="str" cm="1">
        <f t="array" aca="1" ref="F103" ca="1">IFERROR(INDEX(T_Onset[Onset],MATCH(1,(T_Onset[Random '#]=MIN(T_Onset[Random '#]))*1,0)),"")</f>
        <v>ɭ</v>
      </c>
      <c r="N103" s="18" t="s">
        <v>289</v>
      </c>
      <c r="O103" s="9">
        <v>1</v>
      </c>
      <c r="P103" s="9">
        <v>0.1</v>
      </c>
      <c r="Q103" s="13">
        <f ca="1">IF(T_Coda[[#This Row],[On/Off]]=1,RAND()/IF(T_Coda[[#This Row],[Weighting]]="",1,T_Coda[[#This Row],[Weighting]]),"")</f>
        <v>0.18016232870394222</v>
      </c>
      <c r="R103" s="14" t="str" cm="1">
        <f t="array" aca="1" ref="R103" ca="1">IFERROR(INDEX(T_Coda[Coda],MATCH(1,(T_Coda[Random '#]=MIN(T_Coda[Random '#]))*1,0)),"")</f>
        <v>ʕ</v>
      </c>
    </row>
    <row r="104" spans="2:18" x14ac:dyDescent="0.25">
      <c r="B104" s="18" t="s">
        <v>166</v>
      </c>
      <c r="C104" s="9">
        <v>1</v>
      </c>
      <c r="D104" s="9">
        <v>0.1</v>
      </c>
      <c r="E104" s="6">
        <f ca="1">IF(T_Onset[[#This Row],[On/Off]]=1,RAND()/IF(T_Onset[[#This Row],[Weighting]]="",1,T_Onset[[#This Row],[Weighting]]),"")</f>
        <v>9.907458400990981</v>
      </c>
      <c r="F104" s="15" t="str" cm="1">
        <f t="array" aca="1" ref="F104" ca="1">IFERROR(INDEX(T_Onset[Onset],MATCH(1,(T_Onset[Random '#]=MIN(T_Onset[Random '#]))*1,0)),"")</f>
        <v>ɭ</v>
      </c>
      <c r="N104" s="18" t="s">
        <v>189</v>
      </c>
      <c r="O104" s="9">
        <v>1</v>
      </c>
      <c r="P104" s="9">
        <v>0.1</v>
      </c>
      <c r="Q104" s="13">
        <f ca="1">IF(T_Coda[[#This Row],[On/Off]]=1,RAND()/IF(T_Coda[[#This Row],[Weighting]]="",1,T_Coda[[#This Row],[Weighting]]),"")</f>
        <v>4.840107547912563</v>
      </c>
      <c r="R104" s="14" t="str" cm="1">
        <f t="array" aca="1" ref="R104" ca="1">IFERROR(INDEX(T_Coda[Coda],MATCH(1,(T_Coda[Random '#]=MIN(T_Coda[Random '#]))*1,0)),"")</f>
        <v>ʕ</v>
      </c>
    </row>
    <row r="105" spans="2:18" x14ac:dyDescent="0.25">
      <c r="B105" s="18" t="s">
        <v>144</v>
      </c>
      <c r="C105" s="9">
        <v>1</v>
      </c>
      <c r="D105" s="9">
        <v>0.1</v>
      </c>
      <c r="E105" s="6">
        <f ca="1">IF(T_Onset[[#This Row],[On/Off]]=1,RAND()/IF(T_Onset[[#This Row],[Weighting]]="",1,T_Onset[[#This Row],[Weighting]]),"")</f>
        <v>8.008879519358203</v>
      </c>
      <c r="F105" s="15" t="str" cm="1">
        <f t="array" aca="1" ref="F105" ca="1">IFERROR(INDEX(T_Onset[Onset],MATCH(1,(T_Onset[Random '#]=MIN(T_Onset[Random '#]))*1,0)),"")</f>
        <v>ɭ</v>
      </c>
      <c r="N105" s="18" t="s">
        <v>254</v>
      </c>
      <c r="O105" s="9">
        <v>1</v>
      </c>
      <c r="P105" s="9">
        <v>0.1</v>
      </c>
      <c r="Q105" s="13">
        <f ca="1">IF(T_Coda[[#This Row],[On/Off]]=1,RAND()/IF(T_Coda[[#This Row],[Weighting]]="",1,T_Coda[[#This Row],[Weighting]]),"")</f>
        <v>7.8860324306451499</v>
      </c>
      <c r="R105" s="14" t="str" cm="1">
        <f t="array" aca="1" ref="R105" ca="1">IFERROR(INDEX(T_Coda[Coda],MATCH(1,(T_Coda[Random '#]=MIN(T_Coda[Random '#]))*1,0)),"")</f>
        <v>ʕ</v>
      </c>
    </row>
    <row r="106" spans="2:18" x14ac:dyDescent="0.25">
      <c r="B106" s="18" t="s">
        <v>150</v>
      </c>
      <c r="C106" s="9">
        <v>1</v>
      </c>
      <c r="D106" s="9">
        <v>0.1</v>
      </c>
      <c r="E106" s="6">
        <f ca="1">IF(T_Onset[[#This Row],[On/Off]]=1,RAND()/IF(T_Onset[[#This Row],[Weighting]]="",1,T_Onset[[#This Row],[Weighting]]),"")</f>
        <v>8.1542276922263852</v>
      </c>
      <c r="F106" s="15" t="str" cm="1">
        <f t="array" aca="1" ref="F106" ca="1">IFERROR(INDEX(T_Onset[Onset],MATCH(1,(T_Onset[Random '#]=MIN(T_Onset[Random '#]))*1,0)),"")</f>
        <v>ɭ</v>
      </c>
      <c r="N106" s="18" t="s">
        <v>229</v>
      </c>
      <c r="O106" s="9">
        <v>1</v>
      </c>
      <c r="P106" s="9">
        <v>0.1</v>
      </c>
      <c r="Q106" s="13">
        <f ca="1">IF(T_Coda[[#This Row],[On/Off]]=1,RAND()/IF(T_Coda[[#This Row],[Weighting]]="",1,T_Coda[[#This Row],[Weighting]]),"")</f>
        <v>8.5693245834000482</v>
      </c>
      <c r="R106" s="14" t="str" cm="1">
        <f t="array" aca="1" ref="R106" ca="1">IFERROR(INDEX(T_Coda[Coda],MATCH(1,(T_Coda[Random '#]=MIN(T_Coda[Random '#]))*1,0)),"")</f>
        <v>ʕ</v>
      </c>
    </row>
    <row r="107" spans="2:18" x14ac:dyDescent="0.25">
      <c r="B107" s="18" t="s">
        <v>155</v>
      </c>
      <c r="C107" s="9">
        <v>1</v>
      </c>
      <c r="D107" s="9">
        <v>0.1</v>
      </c>
      <c r="E107" s="6">
        <f ca="1">IF(T_Onset[[#This Row],[On/Off]]=1,RAND()/IF(T_Onset[[#This Row],[Weighting]]="",1,T_Onset[[#This Row],[Weighting]]),"")</f>
        <v>3.7491934565203233</v>
      </c>
      <c r="F107" s="15" t="str" cm="1">
        <f t="array" aca="1" ref="F107" ca="1">IFERROR(INDEX(T_Onset[Onset],MATCH(1,(T_Onset[Random '#]=MIN(T_Onset[Random '#]))*1,0)),"")</f>
        <v>ɭ</v>
      </c>
      <c r="N107" s="18" t="s">
        <v>272</v>
      </c>
      <c r="O107" s="9">
        <v>1</v>
      </c>
      <c r="P107" s="9">
        <v>0.1</v>
      </c>
      <c r="Q107" s="13">
        <f ca="1">IF(T_Coda[[#This Row],[On/Off]]=1,RAND()/IF(T_Coda[[#This Row],[Weighting]]="",1,T_Coda[[#This Row],[Weighting]]),"")</f>
        <v>7.6391642372282114</v>
      </c>
      <c r="R107" s="14" t="str" cm="1">
        <f t="array" aca="1" ref="R107" ca="1">IFERROR(INDEX(T_Coda[Coda],MATCH(1,(T_Coda[Random '#]=MIN(T_Coda[Random '#]))*1,0)),"")</f>
        <v>ʕ</v>
      </c>
    </row>
    <row r="108" spans="2:18" x14ac:dyDescent="0.25">
      <c r="B108" s="18" t="s">
        <v>175</v>
      </c>
      <c r="C108" s="9">
        <v>1</v>
      </c>
      <c r="D108" s="9">
        <v>0.1</v>
      </c>
      <c r="E108" s="6">
        <f ca="1">IF(T_Onset[[#This Row],[On/Off]]=1,RAND()/IF(T_Onset[[#This Row],[Weighting]]="",1,T_Onset[[#This Row],[Weighting]]),"")</f>
        <v>2.5311262131162735</v>
      </c>
      <c r="F108" s="15" t="str" cm="1">
        <f t="array" aca="1" ref="F108" ca="1">IFERROR(INDEX(T_Onset[Onset],MATCH(1,(T_Onset[Random '#]=MIN(T_Onset[Random '#]))*1,0)),"")</f>
        <v>ɭ</v>
      </c>
      <c r="N108" s="18" t="s">
        <v>221</v>
      </c>
      <c r="O108" s="9">
        <v>1</v>
      </c>
      <c r="P108" s="9">
        <v>0.1</v>
      </c>
      <c r="Q108" s="13">
        <f ca="1">IF(T_Coda[[#This Row],[On/Off]]=1,RAND()/IF(T_Coda[[#This Row],[Weighting]]="",1,T_Coda[[#This Row],[Weighting]]),"")</f>
        <v>3.0500855976287742</v>
      </c>
      <c r="R108" s="14" t="str" cm="1">
        <f t="array" aca="1" ref="R108" ca="1">IFERROR(INDEX(T_Coda[Coda],MATCH(1,(T_Coda[Random '#]=MIN(T_Coda[Random '#]))*1,0)),"")</f>
        <v>ʕ</v>
      </c>
    </row>
    <row r="109" spans="2:18" x14ac:dyDescent="0.25">
      <c r="B109" s="18" t="s">
        <v>176</v>
      </c>
      <c r="C109" s="9">
        <v>1</v>
      </c>
      <c r="D109" s="9">
        <v>0.1</v>
      </c>
      <c r="E109" s="6">
        <f ca="1">IF(T_Onset[[#This Row],[On/Off]]=1,RAND()/IF(T_Onset[[#This Row],[Weighting]]="",1,T_Onset[[#This Row],[Weighting]]),"")</f>
        <v>1.7162663543327517</v>
      </c>
      <c r="F109" s="15" t="str" cm="1">
        <f t="array" aca="1" ref="F109" ca="1">IFERROR(INDEX(T_Onset[Onset],MATCH(1,(T_Onset[Random '#]=MIN(T_Onset[Random '#]))*1,0)),"")</f>
        <v>ɭ</v>
      </c>
      <c r="N109" s="18" t="s">
        <v>284</v>
      </c>
      <c r="O109" s="9">
        <v>1</v>
      </c>
      <c r="P109" s="9">
        <v>0.1</v>
      </c>
      <c r="Q109" s="13">
        <f ca="1">IF(T_Coda[[#This Row],[On/Off]]=1,RAND()/IF(T_Coda[[#This Row],[Weighting]]="",1,T_Coda[[#This Row],[Weighting]]),"")</f>
        <v>3.5347244516676621</v>
      </c>
      <c r="R109" s="14" t="str" cm="1">
        <f t="array" aca="1" ref="R109" ca="1">IFERROR(INDEX(T_Coda[Coda],MATCH(1,(T_Coda[Random '#]=MIN(T_Coda[Random '#]))*1,0)),"")</f>
        <v>ʕ</v>
      </c>
    </row>
    <row r="110" spans="2:18" x14ac:dyDescent="0.25">
      <c r="B110" s="18" t="s">
        <v>174</v>
      </c>
      <c r="C110" s="9">
        <v>1</v>
      </c>
      <c r="D110" s="9">
        <v>0.1</v>
      </c>
      <c r="E110" s="6">
        <f ca="1">IF(T_Onset[[#This Row],[On/Off]]=1,RAND()/IF(T_Onset[[#This Row],[Weighting]]="",1,T_Onset[[#This Row],[Weighting]]),"")</f>
        <v>2.3430285580132537</v>
      </c>
      <c r="F110" s="15" t="str" cm="1">
        <f t="array" aca="1" ref="F110" ca="1">IFERROR(INDEX(T_Onset[Onset],MATCH(1,(T_Onset[Random '#]=MIN(T_Onset[Random '#]))*1,0)),"")</f>
        <v>ɭ</v>
      </c>
      <c r="N110" s="18" t="s">
        <v>211</v>
      </c>
      <c r="O110" s="9">
        <v>1</v>
      </c>
      <c r="P110" s="9">
        <v>0.1</v>
      </c>
      <c r="Q110" s="13">
        <f ca="1">IF(T_Coda[[#This Row],[On/Off]]=1,RAND()/IF(T_Coda[[#This Row],[Weighting]]="",1,T_Coda[[#This Row],[Weighting]]),"")</f>
        <v>6.7779770352991715</v>
      </c>
      <c r="R110" s="14" t="str" cm="1">
        <f t="array" aca="1" ref="R110" ca="1">IFERROR(INDEX(T_Coda[Coda],MATCH(1,(T_Coda[Random '#]=MIN(T_Coda[Random '#]))*1,0)),"")</f>
        <v>ʕ</v>
      </c>
    </row>
    <row r="111" spans="2:18" x14ac:dyDescent="0.25">
      <c r="B111" s="18" t="s">
        <v>100</v>
      </c>
      <c r="C111" s="9">
        <v>1</v>
      </c>
      <c r="D111" s="9">
        <v>0.1</v>
      </c>
      <c r="E111" s="6">
        <f ca="1">IF(T_Onset[[#This Row],[On/Off]]=1,RAND()/IF(T_Onset[[#This Row],[Weighting]]="",1,T_Onset[[#This Row],[Weighting]]),"")</f>
        <v>6.2202628449703443</v>
      </c>
      <c r="F111" s="15" t="str" cm="1">
        <f t="array" aca="1" ref="F111" ca="1">IFERROR(INDEX(T_Onset[Onset],MATCH(1,(T_Onset[Random '#]=MIN(T_Onset[Random '#]))*1,0)),"")</f>
        <v>ɭ</v>
      </c>
      <c r="N111" s="18" t="s">
        <v>274</v>
      </c>
      <c r="O111" s="9">
        <v>1</v>
      </c>
      <c r="P111" s="9">
        <v>0.1</v>
      </c>
      <c r="Q111" s="13">
        <f ca="1">IF(T_Coda[[#This Row],[On/Off]]=1,RAND()/IF(T_Coda[[#This Row],[Weighting]]="",1,T_Coda[[#This Row],[Weighting]]),"")</f>
        <v>3.4196281423233175</v>
      </c>
      <c r="R111" s="14" t="str" cm="1">
        <f t="array" aca="1" ref="R111" ca="1">IFERROR(INDEX(T_Coda[Coda],MATCH(1,(T_Coda[Random '#]=MIN(T_Coda[Random '#]))*1,0)),"")</f>
        <v>ʕ</v>
      </c>
    </row>
    <row r="112" spans="2:18" x14ac:dyDescent="0.25">
      <c r="B112" s="18" t="s">
        <v>179</v>
      </c>
      <c r="C112" s="9">
        <v>1</v>
      </c>
      <c r="D112" s="9">
        <v>0.1</v>
      </c>
      <c r="E112" s="6">
        <f ca="1">IF(T_Onset[[#This Row],[On/Off]]=1,RAND()/IF(T_Onset[[#This Row],[Weighting]]="",1,T_Onset[[#This Row],[Weighting]]),"")</f>
        <v>1.4606544415157396</v>
      </c>
      <c r="F112" s="15" t="str" cm="1">
        <f t="array" aca="1" ref="F112" ca="1">IFERROR(INDEX(T_Onset[Onset],MATCH(1,(T_Onset[Random '#]=MIN(T_Onset[Random '#]))*1,0)),"")</f>
        <v>ɭ</v>
      </c>
      <c r="N112" s="18" t="s">
        <v>238</v>
      </c>
      <c r="O112" s="9">
        <v>1</v>
      </c>
      <c r="P112" s="9">
        <v>0.1</v>
      </c>
      <c r="Q112" s="13">
        <f ca="1">IF(T_Coda[[#This Row],[On/Off]]=1,RAND()/IF(T_Coda[[#This Row],[Weighting]]="",1,T_Coda[[#This Row],[Weighting]]),"")</f>
        <v>7.4535934362396299</v>
      </c>
      <c r="R112" s="14" t="str" cm="1">
        <f t="array" aca="1" ref="R112" ca="1">IFERROR(INDEX(T_Coda[Coda],MATCH(1,(T_Coda[Random '#]=MIN(T_Coda[Random '#]))*1,0)),"")</f>
        <v>ʕ</v>
      </c>
    </row>
    <row r="113" spans="2:18" x14ac:dyDescent="0.25">
      <c r="B113" s="18" t="s">
        <v>181</v>
      </c>
      <c r="C113" s="9">
        <v>1</v>
      </c>
      <c r="D113" s="9">
        <v>0.1</v>
      </c>
      <c r="E113" s="6">
        <f ca="1">IF(T_Onset[[#This Row],[On/Off]]=1,RAND()/IF(T_Onset[[#This Row],[Weighting]]="",1,T_Onset[[#This Row],[Weighting]]),"")</f>
        <v>2.2570160415932392</v>
      </c>
      <c r="F113" s="15" t="str" cm="1">
        <f t="array" aca="1" ref="F113" ca="1">IFERROR(INDEX(T_Onset[Onset],MATCH(1,(T_Onset[Random '#]=MIN(T_Onset[Random '#]))*1,0)),"")</f>
        <v>ɭ</v>
      </c>
      <c r="N113" s="18" t="s">
        <v>283</v>
      </c>
      <c r="O113" s="9">
        <v>1</v>
      </c>
      <c r="P113" s="9">
        <v>0.1</v>
      </c>
      <c r="Q113" s="13">
        <f ca="1">IF(T_Coda[[#This Row],[On/Off]]=1,RAND()/IF(T_Coda[[#This Row],[Weighting]]="",1,T_Coda[[#This Row],[Weighting]]),"")</f>
        <v>8.1833602653756596</v>
      </c>
      <c r="R113" s="14" t="str" cm="1">
        <f t="array" aca="1" ref="R113" ca="1">IFERROR(INDEX(T_Coda[Coda],MATCH(1,(T_Coda[Random '#]=MIN(T_Coda[Random '#]))*1,0)),"")</f>
        <v>ʕ</v>
      </c>
    </row>
    <row r="114" spans="2:18" x14ac:dyDescent="0.25">
      <c r="B114" s="18" t="s">
        <v>177</v>
      </c>
      <c r="C114" s="9">
        <v>1</v>
      </c>
      <c r="D114" s="9">
        <v>0.1</v>
      </c>
      <c r="E114" s="6">
        <f ca="1">IF(T_Onset[[#This Row],[On/Off]]=1,RAND()/IF(T_Onset[[#This Row],[Weighting]]="",1,T_Onset[[#This Row],[Weighting]]),"")</f>
        <v>8.1996031397926536</v>
      </c>
      <c r="F114" s="15" t="str" cm="1">
        <f t="array" aca="1" ref="F114" ca="1">IFERROR(INDEX(T_Onset[Onset],MATCH(1,(T_Onset[Random '#]=MIN(T_Onset[Random '#]))*1,0)),"")</f>
        <v>ɭ</v>
      </c>
      <c r="N114" s="18" t="s">
        <v>240</v>
      </c>
      <c r="O114" s="9">
        <v>1</v>
      </c>
      <c r="P114" s="9">
        <v>0.1</v>
      </c>
      <c r="Q114" s="13">
        <f ca="1">IF(T_Coda[[#This Row],[On/Off]]=1,RAND()/IF(T_Coda[[#This Row],[Weighting]]="",1,T_Coda[[#This Row],[Weighting]]),"")</f>
        <v>2.3658055627366248</v>
      </c>
      <c r="R114" s="14" t="str" cm="1">
        <f t="array" aca="1" ref="R114" ca="1">IFERROR(INDEX(T_Coda[Coda],MATCH(1,(T_Coda[Random '#]=MIN(T_Coda[Random '#]))*1,0)),"")</f>
        <v>ʕ</v>
      </c>
    </row>
    <row r="115" spans="2:18" x14ac:dyDescent="0.25">
      <c r="B115" s="18" t="s">
        <v>178</v>
      </c>
      <c r="C115" s="9">
        <v>1</v>
      </c>
      <c r="D115" s="9">
        <v>0.1</v>
      </c>
      <c r="E115" s="6">
        <f ca="1">IF(T_Onset[[#This Row],[On/Off]]=1,RAND()/IF(T_Onset[[#This Row],[Weighting]]="",1,T_Onset[[#This Row],[Weighting]]),"")</f>
        <v>0.72806970123602488</v>
      </c>
      <c r="F115" s="15" t="str" cm="1">
        <f t="array" aca="1" ref="F115" ca="1">IFERROR(INDEX(T_Onset[Onset],MATCH(1,(T_Onset[Random '#]=MIN(T_Onset[Random '#]))*1,0)),"")</f>
        <v>ɭ</v>
      </c>
      <c r="N115" s="18" t="s">
        <v>253</v>
      </c>
      <c r="O115" s="9">
        <v>1</v>
      </c>
      <c r="P115" s="9">
        <v>0.1</v>
      </c>
      <c r="Q115" s="13">
        <f ca="1">IF(T_Coda[[#This Row],[On/Off]]=1,RAND()/IF(T_Coda[[#This Row],[Weighting]]="",1,T_Coda[[#This Row],[Weighting]]),"")</f>
        <v>7.9653720487060502</v>
      </c>
      <c r="R115" s="14" t="str" cm="1">
        <f t="array" aca="1" ref="R115" ca="1">IFERROR(INDEX(T_Coda[Coda],MATCH(1,(T_Coda[Random '#]=MIN(T_Coda[Random '#]))*1,0)),"")</f>
        <v>ʕ</v>
      </c>
    </row>
    <row r="116" spans="2:18" x14ac:dyDescent="0.25">
      <c r="B116" s="18" t="s">
        <v>101</v>
      </c>
      <c r="C116" s="9">
        <v>1</v>
      </c>
      <c r="D116" s="9">
        <v>0.1</v>
      </c>
      <c r="E116" s="6">
        <f ca="1">IF(T_Onset[[#This Row],[On/Off]]=1,RAND()/IF(T_Onset[[#This Row],[Weighting]]="",1,T_Onset[[#This Row],[Weighting]]),"")</f>
        <v>1.2949114306168441</v>
      </c>
      <c r="F116" s="15" t="str" cm="1">
        <f t="array" aca="1" ref="F116" ca="1">IFERROR(INDEX(T_Onset[Onset],MATCH(1,(T_Onset[Random '#]=MIN(T_Onset[Random '#]))*1,0)),"")</f>
        <v>ɭ</v>
      </c>
      <c r="N116" s="18" t="s">
        <v>202</v>
      </c>
      <c r="O116" s="9">
        <v>1</v>
      </c>
      <c r="P116" s="9">
        <v>0.1</v>
      </c>
      <c r="Q116" s="13">
        <f ca="1">IF(T_Coda[[#This Row],[On/Off]]=1,RAND()/IF(T_Coda[[#This Row],[Weighting]]="",1,T_Coda[[#This Row],[Weighting]]),"")</f>
        <v>0.36338601353915867</v>
      </c>
      <c r="R116" s="14" t="str" cm="1">
        <f t="array" aca="1" ref="R116" ca="1">IFERROR(INDEX(T_Coda[Coda],MATCH(1,(T_Coda[Random '#]=MIN(T_Coda[Random '#]))*1,0)),"")</f>
        <v>ʕ</v>
      </c>
    </row>
    <row r="117" spans="2:18" x14ac:dyDescent="0.25">
      <c r="B117" s="18" t="s">
        <v>102</v>
      </c>
      <c r="C117" s="9">
        <v>1</v>
      </c>
      <c r="D117" s="9">
        <v>0.1</v>
      </c>
      <c r="E117" s="6">
        <f ca="1">IF(T_Onset[[#This Row],[On/Off]]=1,RAND()/IF(T_Onset[[#This Row],[Weighting]]="",1,T_Onset[[#This Row],[Weighting]]),"")</f>
        <v>7.0904755835903925</v>
      </c>
      <c r="F117" s="15" t="str" cm="1">
        <f t="array" aca="1" ref="F117" ca="1">IFERROR(INDEX(T_Onset[Onset],MATCH(1,(T_Onset[Random '#]=MIN(T_Onset[Random '#]))*1,0)),"")</f>
        <v>ɭ</v>
      </c>
      <c r="N117" s="18" t="s">
        <v>290</v>
      </c>
      <c r="O117" s="9">
        <v>1</v>
      </c>
      <c r="P117" s="9">
        <v>0.1</v>
      </c>
      <c r="Q117" s="13">
        <f ca="1">IF(T_Coda[[#This Row],[On/Off]]=1,RAND()/IF(T_Coda[[#This Row],[Weighting]]="",1,T_Coda[[#This Row],[Weighting]]),"")</f>
        <v>2.1222088671116732</v>
      </c>
      <c r="R117" s="14" t="str" cm="1">
        <f t="array" aca="1" ref="R117" ca="1">IFERROR(INDEX(T_Coda[Coda],MATCH(1,(T_Coda[Random '#]=MIN(T_Coda[Random '#]))*1,0)),"")</f>
        <v>ʕ</v>
      </c>
    </row>
    <row r="118" spans="2:18" x14ac:dyDescent="0.25">
      <c r="B118" s="18" t="s">
        <v>122</v>
      </c>
      <c r="C118" s="9">
        <v>1</v>
      </c>
      <c r="D118" s="9">
        <v>0.1</v>
      </c>
      <c r="E118" s="6">
        <f ca="1">IF(T_Onset[[#This Row],[On/Off]]=1,RAND()/IF(T_Onset[[#This Row],[Weighting]]="",1,T_Onset[[#This Row],[Weighting]]),"")</f>
        <v>8.4376725987344212</v>
      </c>
      <c r="F118" s="15" t="str" cm="1">
        <f t="array" aca="1" ref="F118" ca="1">IFERROR(INDEX(T_Onset[Onset],MATCH(1,(T_Onset[Random '#]=MIN(T_Onset[Random '#]))*1,0)),"")</f>
        <v>ɭ</v>
      </c>
      <c r="N118" s="18" t="s">
        <v>190</v>
      </c>
      <c r="O118" s="9">
        <v>1</v>
      </c>
      <c r="P118" s="9">
        <v>0.1</v>
      </c>
      <c r="Q118" s="13">
        <f ca="1">IF(T_Coda[[#This Row],[On/Off]]=1,RAND()/IF(T_Coda[[#This Row],[Weighting]]="",1,T_Coda[[#This Row],[Weighting]]),"")</f>
        <v>3.1757878698862219</v>
      </c>
      <c r="R118" s="14" t="str" cm="1">
        <f t="array" aca="1" ref="R118" ca="1">IFERROR(INDEX(T_Coda[Coda],MATCH(1,(T_Coda[Random '#]=MIN(T_Coda[Random '#]))*1,0)),"")</f>
        <v>ʕ</v>
      </c>
    </row>
    <row r="119" spans="2:18" x14ac:dyDescent="0.25">
      <c r="B119" s="18" t="s">
        <v>121</v>
      </c>
      <c r="C119" s="9">
        <v>1</v>
      </c>
      <c r="D119" s="9">
        <v>0.1</v>
      </c>
      <c r="E119" s="6">
        <f ca="1">IF(T_Onset[[#This Row],[On/Off]]=1,RAND()/IF(T_Onset[[#This Row],[Weighting]]="",1,T_Onset[[#This Row],[Weighting]]),"")</f>
        <v>6.7319953373231893</v>
      </c>
      <c r="F119" s="15" t="str" cm="1">
        <f t="array" aca="1" ref="F119" ca="1">IFERROR(INDEX(T_Onset[Onset],MATCH(1,(T_Onset[Random '#]=MIN(T_Onset[Random '#]))*1,0)),"")</f>
        <v>ɭ</v>
      </c>
      <c r="N119" s="18" t="s">
        <v>273</v>
      </c>
      <c r="O119" s="9">
        <v>1</v>
      </c>
      <c r="P119" s="9">
        <v>0.1</v>
      </c>
      <c r="Q119" s="13">
        <f ca="1">IF(T_Coda[[#This Row],[On/Off]]=1,RAND()/IF(T_Coda[[#This Row],[Weighting]]="",1,T_Coda[[#This Row],[Weighting]]),"")</f>
        <v>4.7994995447967774</v>
      </c>
      <c r="R119" s="14" t="str" cm="1">
        <f t="array" aca="1" ref="R119" ca="1">IFERROR(INDEX(T_Coda[Coda],MATCH(1,(T_Coda[Random '#]=MIN(T_Coda[Random '#]))*1,0)),"")</f>
        <v>ʕ</v>
      </c>
    </row>
    <row r="120" spans="2:18" x14ac:dyDescent="0.25">
      <c r="B120" s="18" t="s">
        <v>184</v>
      </c>
      <c r="C120" s="9">
        <v>1</v>
      </c>
      <c r="D120" s="9">
        <v>0.1</v>
      </c>
      <c r="E120" s="6">
        <f ca="1">IF(T_Onset[[#This Row],[On/Off]]=1,RAND()/IF(T_Onset[[#This Row],[Weighting]]="",1,T_Onset[[#This Row],[Weighting]]),"")</f>
        <v>5.0389398578379767</v>
      </c>
      <c r="F120" s="15" t="str" cm="1">
        <f t="array" aca="1" ref="F120" ca="1">IFERROR(INDEX(T_Onset[Onset],MATCH(1,(T_Onset[Random '#]=MIN(T_Onset[Random '#]))*1,0)),"")</f>
        <v>ɭ</v>
      </c>
      <c r="N120" s="18" t="s">
        <v>222</v>
      </c>
      <c r="O120" s="9">
        <v>1</v>
      </c>
      <c r="P120" s="9">
        <v>0.1</v>
      </c>
      <c r="Q120" s="13">
        <f ca="1">IF(T_Coda[[#This Row],[On/Off]]=1,RAND()/IF(T_Coda[[#This Row],[Weighting]]="",1,T_Coda[[#This Row],[Weighting]]),"")</f>
        <v>8.7144323056674722</v>
      </c>
      <c r="R120" s="14" t="str" cm="1">
        <f t="array" aca="1" ref="R120" ca="1">IFERROR(INDEX(T_Coda[Coda],MATCH(1,(T_Coda[Random '#]=MIN(T_Coda[Random '#]))*1,0)),"")</f>
        <v>ʕ</v>
      </c>
    </row>
    <row r="121" spans="2:18" x14ac:dyDescent="0.25">
      <c r="B121" s="18" t="s">
        <v>185</v>
      </c>
      <c r="C121" s="9">
        <v>1</v>
      </c>
      <c r="D121" s="9">
        <v>0.1</v>
      </c>
      <c r="E121" s="6">
        <f ca="1">IF(T_Onset[[#This Row],[On/Off]]=1,RAND()/IF(T_Onset[[#This Row],[Weighting]]="",1,T_Onset[[#This Row],[Weighting]]),"")</f>
        <v>5.9335608105418984</v>
      </c>
      <c r="F121" s="15" t="str" cm="1">
        <f t="array" aca="1" ref="F121" ca="1">IFERROR(INDEX(T_Onset[Onset],MATCH(1,(T_Onset[Random '#]=MIN(T_Onset[Random '#]))*1,0)),"")</f>
        <v>ɭ</v>
      </c>
      <c r="N121" s="18" t="s">
        <v>285</v>
      </c>
      <c r="O121" s="9">
        <v>1</v>
      </c>
      <c r="P121" s="9">
        <v>0.1</v>
      </c>
      <c r="Q121" s="13">
        <f ca="1">IF(T_Coda[[#This Row],[On/Off]]=1,RAND()/IF(T_Coda[[#This Row],[Weighting]]="",1,T_Coda[[#This Row],[Weighting]]),"")</f>
        <v>2.9271453281184066</v>
      </c>
      <c r="R121" s="14" t="str" cm="1">
        <f t="array" aca="1" ref="R121" ca="1">IFERROR(INDEX(T_Coda[Coda],MATCH(1,(T_Coda[Random '#]=MIN(T_Coda[Random '#]))*1,0)),"")</f>
        <v>ʕ</v>
      </c>
    </row>
    <row r="122" spans="2:18" x14ac:dyDescent="0.25">
      <c r="B122" s="18" t="s">
        <v>182</v>
      </c>
      <c r="C122" s="9">
        <v>1</v>
      </c>
      <c r="D122" s="9">
        <v>0.1</v>
      </c>
      <c r="E122" s="6">
        <f ca="1">IF(T_Onset[[#This Row],[On/Off]]=1,RAND()/IF(T_Onset[[#This Row],[Weighting]]="",1,T_Onset[[#This Row],[Weighting]]),"")</f>
        <v>4.5288048031127213</v>
      </c>
      <c r="F122" s="15" t="str" cm="1">
        <f t="array" aca="1" ref="F122" ca="1">IFERROR(INDEX(T_Onset[Onset],MATCH(1,(T_Onset[Random '#]=MIN(T_Onset[Random '#]))*1,0)),"")</f>
        <v>ɭ</v>
      </c>
      <c r="N122" s="18" t="s">
        <v>212</v>
      </c>
      <c r="O122" s="9">
        <v>1</v>
      </c>
      <c r="P122" s="9">
        <v>0.1</v>
      </c>
      <c r="Q122" s="13">
        <f ca="1">IF(T_Coda[[#This Row],[On/Off]]=1,RAND()/IF(T_Coda[[#This Row],[Weighting]]="",1,T_Coda[[#This Row],[Weighting]]),"")</f>
        <v>5.0062344739178499</v>
      </c>
      <c r="R122" s="14" t="str" cm="1">
        <f t="array" aca="1" ref="R122" ca="1">IFERROR(INDEX(T_Coda[Coda],MATCH(1,(T_Coda[Random '#]=MIN(T_Coda[Random '#]))*1,0)),"")</f>
        <v>ʕ</v>
      </c>
    </row>
    <row r="123" spans="2:18" x14ac:dyDescent="0.25">
      <c r="B123" s="18" t="s">
        <v>183</v>
      </c>
      <c r="C123" s="9">
        <v>1</v>
      </c>
      <c r="D123" s="9">
        <v>0.1</v>
      </c>
      <c r="E123" s="6">
        <f ca="1">IF(T_Onset[[#This Row],[On/Off]]=1,RAND()/IF(T_Onset[[#This Row],[Weighting]]="",1,T_Onset[[#This Row],[Weighting]]),"")</f>
        <v>1.4300933945451655</v>
      </c>
      <c r="F123" s="15" t="str" cm="1">
        <f t="array" aca="1" ref="F123" ca="1">IFERROR(INDEX(T_Onset[Onset],MATCH(1,(T_Onset[Random '#]=MIN(T_Onset[Random '#]))*1,0)),"")</f>
        <v>ɭ</v>
      </c>
      <c r="N123" s="18" t="s">
        <v>191</v>
      </c>
      <c r="O123" s="9">
        <v>1</v>
      </c>
      <c r="P123" s="9">
        <v>0.1</v>
      </c>
      <c r="Q123" s="13">
        <f ca="1">IF(T_Coda[[#This Row],[On/Off]]=1,RAND()/IF(T_Coda[[#This Row],[Weighting]]="",1,T_Coda[[#This Row],[Weighting]]),"")</f>
        <v>7.3072289678360862</v>
      </c>
      <c r="R123" s="14" t="str" cm="1">
        <f t="array" aca="1" ref="R123" ca="1">IFERROR(INDEX(T_Coda[Coda],MATCH(1,(T_Coda[Random '#]=MIN(T_Coda[Random '#]))*1,0)),"")</f>
        <v>ʕ</v>
      </c>
    </row>
    <row r="124" spans="2:18" x14ac:dyDescent="0.25">
      <c r="B124" s="18" t="s">
        <v>103</v>
      </c>
      <c r="C124" s="9">
        <v>1</v>
      </c>
      <c r="D124" s="9">
        <v>0.1</v>
      </c>
      <c r="E124" s="6">
        <f ca="1">IF(T_Onset[[#This Row],[On/Off]]=1,RAND()/IF(T_Onset[[#This Row],[Weighting]]="",1,T_Onset[[#This Row],[Weighting]]),"")</f>
        <v>8.4220841204360966</v>
      </c>
      <c r="F124" s="15" t="str" cm="1">
        <f t="array" aca="1" ref="F124" ca="1">IFERROR(INDEX(T_Onset[Onset],MATCH(1,(T_Onset[Random '#]=MIN(T_Onset[Random '#]))*1,0)),"")</f>
        <v>ɭ</v>
      </c>
      <c r="N124" s="18" t="s">
        <v>275</v>
      </c>
      <c r="O124" s="9">
        <v>1</v>
      </c>
      <c r="P124" s="9">
        <v>0.1</v>
      </c>
      <c r="Q124" s="13">
        <f ca="1">IF(T_Coda[[#This Row],[On/Off]]=1,RAND()/IF(T_Coda[[#This Row],[Weighting]]="",1,T_Coda[[#This Row],[Weighting]]),"")</f>
        <v>1.0567049525571381</v>
      </c>
      <c r="R124" s="14" t="str" cm="1">
        <f t="array" aca="1" ref="R124" ca="1">IFERROR(INDEX(T_Coda[Coda],MATCH(1,(T_Coda[Random '#]=MIN(T_Coda[Random '#]))*1,0)),"")</f>
        <v>ʕ</v>
      </c>
    </row>
    <row r="125" spans="2:18" x14ac:dyDescent="0.25">
      <c r="B125" s="18" t="s">
        <v>106</v>
      </c>
      <c r="C125" s="9">
        <v>1</v>
      </c>
      <c r="D125" s="9">
        <v>0.1</v>
      </c>
      <c r="E125" s="6">
        <f ca="1">IF(T_Onset[[#This Row],[On/Off]]=1,RAND()/IF(T_Onset[[#This Row],[Weighting]]="",1,T_Onset[[#This Row],[Weighting]]),"")</f>
        <v>8.0229334703122035</v>
      </c>
      <c r="F125" s="15" t="str" cm="1">
        <f t="array" aca="1" ref="F125" ca="1">IFERROR(INDEX(T_Onset[Onset],MATCH(1,(T_Onset[Random '#]=MIN(T_Onset[Random '#]))*1,0)),"")</f>
        <v>ɭ</v>
      </c>
      <c r="N125" s="18" t="s">
        <v>299</v>
      </c>
      <c r="O125" s="9">
        <v>1</v>
      </c>
      <c r="P125" s="9">
        <v>0.1</v>
      </c>
      <c r="Q125" s="13">
        <f ca="1">IF(T_Coda[[#This Row],[On/Off]]=1,RAND()/IF(T_Coda[[#This Row],[Weighting]]="",1,T_Coda[[#This Row],[Weighting]]),"")</f>
        <v>0.95523558776269724</v>
      </c>
      <c r="R125" s="14" t="str" cm="1">
        <f t="array" aca="1" ref="R125" ca="1">IFERROR(INDEX(T_Coda[Coda],MATCH(1,(T_Coda[Random '#]=MIN(T_Coda[Random '#]))*1,0)),"")</f>
        <v>ʕ</v>
      </c>
    </row>
    <row r="126" spans="2:18" x14ac:dyDescent="0.25">
      <c r="B126" s="18" t="s">
        <v>108</v>
      </c>
      <c r="C126" s="9">
        <v>1</v>
      </c>
      <c r="D126" s="9">
        <v>0.1</v>
      </c>
      <c r="E126" s="6">
        <f ca="1">IF(T_Onset[[#This Row],[On/Off]]=1,RAND()/IF(T_Onset[[#This Row],[Weighting]]="",1,T_Onset[[#This Row],[Weighting]]),"")</f>
        <v>5.786463746291755</v>
      </c>
      <c r="F126" s="15" t="str" cm="1">
        <f t="array" aca="1" ref="F126" ca="1">IFERROR(INDEX(T_Onset[Onset],MATCH(1,(T_Onset[Random '#]=MIN(T_Onset[Random '#]))*1,0)),"")</f>
        <v>ɭ</v>
      </c>
      <c r="N126" s="18" t="s">
        <v>255</v>
      </c>
      <c r="O126" s="9">
        <v>1</v>
      </c>
      <c r="P126" s="9">
        <v>0.1</v>
      </c>
      <c r="Q126" s="13">
        <f ca="1">IF(T_Coda[[#This Row],[On/Off]]=1,RAND()/IF(T_Coda[[#This Row],[Weighting]]="",1,T_Coda[[#This Row],[Weighting]]),"")</f>
        <v>0.175119693703083</v>
      </c>
      <c r="R126" s="14" t="str" cm="1">
        <f t="array" aca="1" ref="R126" ca="1">IFERROR(INDEX(T_Coda[Coda],MATCH(1,(T_Coda[Random '#]=MIN(T_Coda[Random '#]))*1,0)),"")</f>
        <v>ʕ</v>
      </c>
    </row>
    <row r="127" spans="2:18" x14ac:dyDescent="0.25">
      <c r="B127" s="18" t="s">
        <v>107</v>
      </c>
      <c r="C127" s="9">
        <v>1</v>
      </c>
      <c r="D127" s="9">
        <v>0.1</v>
      </c>
      <c r="E127" s="6">
        <f ca="1">IF(T_Onset[[#This Row],[On/Off]]=1,RAND()/IF(T_Onset[[#This Row],[Weighting]]="",1,T_Onset[[#This Row],[Weighting]]),"")</f>
        <v>1.9604257305234829</v>
      </c>
      <c r="F127" s="15" t="str" cm="1">
        <f t="array" aca="1" ref="F127" ca="1">IFERROR(INDEX(T_Onset[Onset],MATCH(1,(T_Onset[Random '#]=MIN(T_Onset[Random '#]))*1,0)),"")</f>
        <v>ɭ</v>
      </c>
      <c r="N127" s="18" t="s">
        <v>234</v>
      </c>
      <c r="O127" s="9">
        <v>1</v>
      </c>
      <c r="P127" s="9">
        <v>0.1</v>
      </c>
      <c r="Q127" s="13">
        <f ca="1">IF(T_Coda[[#This Row],[On/Off]]=1,RAND()/IF(T_Coda[[#This Row],[Weighting]]="",1,T_Coda[[#This Row],[Weighting]]),"")</f>
        <v>2.5155419482888974</v>
      </c>
      <c r="R127" s="14" t="str" cm="1">
        <f t="array" aca="1" ref="R127" ca="1">IFERROR(INDEX(T_Coda[Coda],MATCH(1,(T_Coda[Random '#]=MIN(T_Coda[Random '#]))*1,0)),"")</f>
        <v>ʕ</v>
      </c>
    </row>
    <row r="128" spans="2:18" x14ac:dyDescent="0.25">
      <c r="B128" s="18" t="s">
        <v>109</v>
      </c>
      <c r="C128" s="9">
        <v>1</v>
      </c>
      <c r="D128" s="9">
        <v>0.1</v>
      </c>
      <c r="E128" s="6">
        <f ca="1">IF(T_Onset[[#This Row],[On/Off]]=1,RAND()/IF(T_Onset[[#This Row],[Weighting]]="",1,T_Onset[[#This Row],[Weighting]]),"")</f>
        <v>3.4800716819316402</v>
      </c>
      <c r="F128" s="15" t="str" cm="1">
        <f t="array" aca="1" ref="F128" ca="1">IFERROR(INDEX(T_Onset[Onset],MATCH(1,(T_Onset[Random '#]=MIN(T_Onset[Random '#]))*1,0)),"")</f>
        <v>ɭ</v>
      </c>
      <c r="N128" s="18" t="s">
        <v>307</v>
      </c>
      <c r="O128" s="9">
        <v>1</v>
      </c>
      <c r="P128" s="9">
        <v>0.1</v>
      </c>
      <c r="Q128" s="13">
        <f ca="1">IF(T_Coda[[#This Row],[On/Off]]=1,RAND()/IF(T_Coda[[#This Row],[Weighting]]="",1,T_Coda[[#This Row],[Weighting]]),"")</f>
        <v>8.5219000400315128</v>
      </c>
      <c r="R128" s="14" t="str" cm="1">
        <f t="array" aca="1" ref="R128" ca="1">IFERROR(INDEX(T_Coda[Coda],MATCH(1,(T_Coda[Random '#]=MIN(T_Coda[Random '#]))*1,0)),"")</f>
        <v>ʕ</v>
      </c>
    </row>
    <row r="129" spans="2:18" x14ac:dyDescent="0.25">
      <c r="B129" s="18" t="s">
        <v>110</v>
      </c>
      <c r="C129" s="9">
        <v>1</v>
      </c>
      <c r="D129" s="9">
        <v>0.1</v>
      </c>
      <c r="E129" s="6">
        <f ca="1">IF(T_Onset[[#This Row],[On/Off]]=1,RAND()/IF(T_Onset[[#This Row],[Weighting]]="",1,T_Onset[[#This Row],[Weighting]]),"")</f>
        <v>6.8773723440963241</v>
      </c>
      <c r="F129" s="15" t="str" cm="1">
        <f t="array" aca="1" ref="F129" ca="1">IFERROR(INDEX(T_Onset[Onset],MATCH(1,(T_Onset[Random '#]=MIN(T_Onset[Random '#]))*1,0)),"")</f>
        <v>ɭ</v>
      </c>
      <c r="N129" s="18" t="s">
        <v>213</v>
      </c>
      <c r="O129" s="9">
        <v>1</v>
      </c>
      <c r="P129" s="9">
        <v>0.1</v>
      </c>
      <c r="Q129" s="13">
        <f ca="1">IF(T_Coda[[#This Row],[On/Off]]=1,RAND()/IF(T_Coda[[#This Row],[Weighting]]="",1,T_Coda[[#This Row],[Weighting]]),"")</f>
        <v>9.2433510686873657</v>
      </c>
      <c r="R129" s="14" t="str" cm="1">
        <f t="array" aca="1" ref="R129" ca="1">IFERROR(INDEX(T_Coda[Coda],MATCH(1,(T_Coda[Random '#]=MIN(T_Coda[Random '#]))*1,0)),"")</f>
        <v>ʕ</v>
      </c>
    </row>
    <row r="130" spans="2:18" x14ac:dyDescent="0.25">
      <c r="B130" s="18" t="s">
        <v>111</v>
      </c>
      <c r="C130" s="9">
        <v>1</v>
      </c>
      <c r="D130" s="9">
        <v>0.1</v>
      </c>
      <c r="E130" s="6">
        <f ca="1">IF(T_Onset[[#This Row],[On/Off]]=1,RAND()/IF(T_Onset[[#This Row],[Weighting]]="",1,T_Onset[[#This Row],[Weighting]]),"")</f>
        <v>2.698629150679924</v>
      </c>
      <c r="F130" s="15" t="str" cm="1">
        <f t="array" aca="1" ref="F130" ca="1">IFERROR(INDEX(T_Onset[Onset],MATCH(1,(T_Onset[Random '#]=MIN(T_Onset[Random '#]))*1,0)),"")</f>
        <v>ɭ</v>
      </c>
      <c r="N130" s="18" t="s">
        <v>205</v>
      </c>
      <c r="O130" s="9">
        <v>1</v>
      </c>
      <c r="P130" s="9">
        <v>0.1</v>
      </c>
      <c r="Q130" s="13">
        <f ca="1">IF(T_Coda[[#This Row],[On/Off]]=1,RAND()/IF(T_Coda[[#This Row],[Weighting]]="",1,T_Coda[[#This Row],[Weighting]]),"")</f>
        <v>9.7396246897676111</v>
      </c>
      <c r="R130" s="14" t="str" cm="1">
        <f t="array" aca="1" ref="R130" ca="1">IFERROR(INDEX(T_Coda[Coda],MATCH(1,(T_Coda[Random '#]=MIN(T_Coda[Random '#]))*1,0)),"")</f>
        <v>ʕ</v>
      </c>
    </row>
    <row r="131" spans="2:18" x14ac:dyDescent="0.25">
      <c r="B131" s="18" t="s">
        <v>112</v>
      </c>
      <c r="C131" s="9">
        <v>1</v>
      </c>
      <c r="D131" s="9">
        <v>0.1</v>
      </c>
      <c r="E131" s="6">
        <f ca="1">IF(T_Onset[[#This Row],[On/Off]]=1,RAND()/IF(T_Onset[[#This Row],[Weighting]]="",1,T_Onset[[#This Row],[Weighting]]),"")</f>
        <v>8.2124404599797725</v>
      </c>
      <c r="F131" s="15" t="str" cm="1">
        <f t="array" aca="1" ref="F131" ca="1">IFERROR(INDEX(T_Onset[Onset],MATCH(1,(T_Onset[Random '#]=MIN(T_Onset[Random '#]))*1,0)),"")</f>
        <v>ɭ</v>
      </c>
      <c r="N131" s="18" t="s">
        <v>231</v>
      </c>
      <c r="O131" s="9">
        <v>1</v>
      </c>
      <c r="P131" s="9">
        <v>0.1</v>
      </c>
      <c r="Q131" s="13">
        <f ca="1">IF(T_Coda[[#This Row],[On/Off]]=1,RAND()/IF(T_Coda[[#This Row],[Weighting]]="",1,T_Coda[[#This Row],[Weighting]]),"")</f>
        <v>9.643093375628311</v>
      </c>
      <c r="R131" s="14" t="str" cm="1">
        <f t="array" aca="1" ref="R131" ca="1">IFERROR(INDEX(T_Coda[Coda],MATCH(1,(T_Coda[Random '#]=MIN(T_Coda[Random '#]))*1,0)),"")</f>
        <v>ʕ</v>
      </c>
    </row>
    <row r="132" spans="2:18" x14ac:dyDescent="0.25">
      <c r="B132" s="18" t="s">
        <v>104</v>
      </c>
      <c r="C132" s="9">
        <v>1</v>
      </c>
      <c r="D132" s="9">
        <v>0.1</v>
      </c>
      <c r="E132" s="6">
        <f ca="1">IF(T_Onset[[#This Row],[On/Off]]=1,RAND()/IF(T_Onset[[#This Row],[Weighting]]="",1,T_Onset[[#This Row],[Weighting]]),"")</f>
        <v>0.247122723678872</v>
      </c>
      <c r="F132" s="15" t="str" cm="1">
        <f t="array" aca="1" ref="F132" ca="1">IFERROR(INDEX(T_Onset[Onset],MATCH(1,(T_Onset[Random '#]=MIN(T_Onset[Random '#]))*1,0)),"")</f>
        <v>ɭ</v>
      </c>
      <c r="N132" s="18" t="s">
        <v>224</v>
      </c>
      <c r="O132" s="9">
        <v>1</v>
      </c>
      <c r="P132" s="9">
        <v>0.1</v>
      </c>
      <c r="Q132" s="13">
        <f ca="1">IF(T_Coda[[#This Row],[On/Off]]=1,RAND()/IF(T_Coda[[#This Row],[Weighting]]="",1,T_Coda[[#This Row],[Weighting]]),"")</f>
        <v>7.4865352521349591</v>
      </c>
      <c r="R132" s="14" t="str" cm="1">
        <f t="array" aca="1" ref="R132" ca="1">IFERROR(INDEX(T_Coda[Coda],MATCH(1,(T_Coda[Random '#]=MIN(T_Coda[Random '#]))*1,0)),"")</f>
        <v>ʕ</v>
      </c>
    </row>
    <row r="133" spans="2:18" x14ac:dyDescent="0.25">
      <c r="B133" s="18" t="s">
        <v>105</v>
      </c>
      <c r="C133" s="9">
        <v>1</v>
      </c>
      <c r="D133" s="9">
        <v>0.1</v>
      </c>
      <c r="E133" s="6">
        <f ca="1">IF(T_Onset[[#This Row],[On/Off]]=1,RAND()/IF(T_Onset[[#This Row],[Weighting]]="",1,T_Onset[[#This Row],[Weighting]]),"")</f>
        <v>1.0392228032534756</v>
      </c>
      <c r="F133" s="15" t="str" cm="1">
        <f t="array" aca="1" ref="F133" ca="1">IFERROR(INDEX(T_Onset[Onset],MATCH(1,(T_Onset[Random '#]=MIN(T_Onset[Random '#]))*1,0)),"")</f>
        <v>ɭ</v>
      </c>
      <c r="N133" s="18" t="s">
        <v>193</v>
      </c>
      <c r="O133" s="9">
        <v>1</v>
      </c>
      <c r="P133" s="9">
        <v>0.1</v>
      </c>
      <c r="Q133" s="13">
        <f ca="1">IF(T_Coda[[#This Row],[On/Off]]=1,RAND()/IF(T_Coda[[#This Row],[Weighting]]="",1,T_Coda[[#This Row],[Weighting]]),"")</f>
        <v>5.8665660700146223</v>
      </c>
      <c r="R133" s="14" t="str" cm="1">
        <f t="array" aca="1" ref="R133" ca="1">IFERROR(INDEX(T_Coda[Coda],MATCH(1,(T_Coda[Random '#]=MIN(T_Coda[Random '#]))*1,0)),"")</f>
        <v>ʕ</v>
      </c>
    </row>
    <row r="134" spans="2:18" x14ac:dyDescent="0.25">
      <c r="B134" s="18" t="s">
        <v>120</v>
      </c>
      <c r="C134" s="9">
        <v>1</v>
      </c>
      <c r="D134" s="9">
        <v>0.1</v>
      </c>
      <c r="E134" s="6">
        <f ca="1">IF(T_Onset[[#This Row],[On/Off]]=1,RAND()/IF(T_Onset[[#This Row],[Weighting]]="",1,T_Onset[[#This Row],[Weighting]]),"")</f>
        <v>8.0519738879944391</v>
      </c>
      <c r="F134" s="15" t="str" cm="1">
        <f t="array" aca="1" ref="F134" ca="1">IFERROR(INDEX(T_Onset[Onset],MATCH(1,(T_Onset[Random '#]=MIN(T_Onset[Random '#]))*1,0)),"")</f>
        <v>ɭ</v>
      </c>
      <c r="N134" s="18" t="s">
        <v>215</v>
      </c>
      <c r="O134" s="9">
        <v>1</v>
      </c>
      <c r="P134" s="9">
        <v>0.1</v>
      </c>
      <c r="Q134" s="13">
        <f ca="1">IF(T_Coda[[#This Row],[On/Off]]=1,RAND()/IF(T_Coda[[#This Row],[Weighting]]="",1,T_Coda[[#This Row],[Weighting]]),"")</f>
        <v>6.0420429730038379</v>
      </c>
      <c r="R134" s="14" t="str" cm="1">
        <f t="array" aca="1" ref="R134" ca="1">IFERROR(INDEX(T_Coda[Coda],MATCH(1,(T_Coda[Random '#]=MIN(T_Coda[Random '#]))*1,0)),"")</f>
        <v>ʕ</v>
      </c>
    </row>
    <row r="135" spans="2:18" x14ac:dyDescent="0.25">
      <c r="B135" s="18" t="s">
        <v>119</v>
      </c>
      <c r="C135" s="9">
        <v>1</v>
      </c>
      <c r="D135" s="9">
        <v>0.1</v>
      </c>
      <c r="E135" s="6">
        <f ca="1">IF(T_Onset[[#This Row],[On/Off]]=1,RAND()/IF(T_Onset[[#This Row],[Weighting]]="",1,T_Onset[[#This Row],[Weighting]]),"")</f>
        <v>0.2313979731264626</v>
      </c>
      <c r="F135" s="15" t="str" cm="1">
        <f t="array" aca="1" ref="F135" ca="1">IFERROR(INDEX(T_Onset[Onset],MATCH(1,(T_Onset[Random '#]=MIN(T_Onset[Random '#]))*1,0)),"")</f>
        <v>ɭ</v>
      </c>
      <c r="N135" s="18" t="s">
        <v>206</v>
      </c>
      <c r="O135" s="9">
        <v>1</v>
      </c>
      <c r="P135" s="9">
        <v>0.1</v>
      </c>
      <c r="Q135" s="13">
        <f ca="1">IF(T_Coda[[#This Row],[On/Off]]=1,RAND()/IF(T_Coda[[#This Row],[Weighting]]="",1,T_Coda[[#This Row],[Weighting]]),"")</f>
        <v>5.7483099737683725</v>
      </c>
      <c r="R135" s="14" t="str" cm="1">
        <f t="array" aca="1" ref="R135" ca="1">IFERROR(INDEX(T_Coda[Coda],MATCH(1,(T_Coda[Random '#]=MIN(T_Coda[Random '#]))*1,0)),"")</f>
        <v>ʕ</v>
      </c>
    </row>
    <row r="136" spans="2:18" x14ac:dyDescent="0.25">
      <c r="B136" s="18" t="s">
        <v>114</v>
      </c>
      <c r="C136" s="9">
        <v>1</v>
      </c>
      <c r="D136" s="9">
        <v>0.1</v>
      </c>
      <c r="E136" s="6">
        <f ca="1">IF(T_Onset[[#This Row],[On/Off]]=1,RAND()/IF(T_Onset[[#This Row],[Weighting]]="",1,T_Onset[[#This Row],[Weighting]]),"")</f>
        <v>3.6008038864517644</v>
      </c>
      <c r="F136" s="15" t="str" cm="1">
        <f t="array" aca="1" ref="F136" ca="1">IFERROR(INDEX(T_Onset[Onset],MATCH(1,(T_Onset[Random '#]=MIN(T_Onset[Random '#]))*1,0)),"")</f>
        <v>ɭ</v>
      </c>
      <c r="N136" s="18" t="s">
        <v>225</v>
      </c>
      <c r="O136" s="9">
        <v>1</v>
      </c>
      <c r="P136" s="9">
        <v>0.1</v>
      </c>
      <c r="Q136" s="13">
        <f ca="1">IF(T_Coda[[#This Row],[On/Off]]=1,RAND()/IF(T_Coda[[#This Row],[Weighting]]="",1,T_Coda[[#This Row],[Weighting]]),"")</f>
        <v>7.2721299029338189</v>
      </c>
      <c r="R136" s="14" t="str" cm="1">
        <f t="array" aca="1" ref="R136" ca="1">IFERROR(INDEX(T_Coda[Coda],MATCH(1,(T_Coda[Random '#]=MIN(T_Coda[Random '#]))*1,0)),"")</f>
        <v>ʕ</v>
      </c>
    </row>
    <row r="137" spans="2:18" x14ac:dyDescent="0.25">
      <c r="B137" s="18" t="s">
        <v>116</v>
      </c>
      <c r="C137" s="9">
        <v>1</v>
      </c>
      <c r="D137" s="9">
        <v>0.1</v>
      </c>
      <c r="E137" s="6">
        <f ca="1">IF(T_Onset[[#This Row],[On/Off]]=1,RAND()/IF(T_Onset[[#This Row],[Weighting]]="",1,T_Onset[[#This Row],[Weighting]]),"")</f>
        <v>5.3056223440881922</v>
      </c>
      <c r="F137" s="15" t="str" cm="1">
        <f t="array" aca="1" ref="F137" ca="1">IFERROR(INDEX(T_Onset[Onset],MATCH(1,(T_Onset[Random '#]=MIN(T_Onset[Random '#]))*1,0)),"")</f>
        <v>ɭ</v>
      </c>
      <c r="N137" s="18" t="s">
        <v>194</v>
      </c>
      <c r="O137" s="9">
        <v>1</v>
      </c>
      <c r="P137" s="9">
        <v>0.1</v>
      </c>
      <c r="Q137" s="13">
        <f ca="1">IF(T_Coda[[#This Row],[On/Off]]=1,RAND()/IF(T_Coda[[#This Row],[Weighting]]="",1,T_Coda[[#This Row],[Weighting]]),"")</f>
        <v>0.3658050964670212</v>
      </c>
      <c r="R137" s="14" t="str" cm="1">
        <f t="array" aca="1" ref="R137" ca="1">IFERROR(INDEX(T_Coda[Coda],MATCH(1,(T_Coda[Random '#]=MIN(T_Coda[Random '#]))*1,0)),"")</f>
        <v>ʕ</v>
      </c>
    </row>
    <row r="138" spans="2:18" x14ac:dyDescent="0.25">
      <c r="B138" s="18" t="s">
        <v>115</v>
      </c>
      <c r="C138" s="9">
        <v>1</v>
      </c>
      <c r="D138" s="9">
        <v>0.1</v>
      </c>
      <c r="E138" s="6">
        <f ca="1">IF(T_Onset[[#This Row],[On/Off]]=1,RAND()/IF(T_Onset[[#This Row],[Weighting]]="",1,T_Onset[[#This Row],[Weighting]]),"")</f>
        <v>7.6583944231577004</v>
      </c>
      <c r="F138" s="15" t="str" cm="1">
        <f t="array" aca="1" ref="F138" ca="1">IFERROR(INDEX(T_Onset[Onset],MATCH(1,(T_Onset[Random '#]=MIN(T_Onset[Random '#]))*1,0)),"")</f>
        <v>ɭ</v>
      </c>
      <c r="N138" s="18" t="s">
        <v>216</v>
      </c>
      <c r="O138" s="9">
        <v>1</v>
      </c>
      <c r="P138" s="9">
        <v>0.1</v>
      </c>
      <c r="Q138" s="13">
        <f ca="1">IF(T_Coda[[#This Row],[On/Off]]=1,RAND()/IF(T_Coda[[#This Row],[Weighting]]="",1,T_Coda[[#This Row],[Weighting]]),"")</f>
        <v>2.8515409438147463</v>
      </c>
      <c r="R138" s="14" t="str" cm="1">
        <f t="array" aca="1" ref="R138" ca="1">IFERROR(INDEX(T_Coda[Coda],MATCH(1,(T_Coda[Random '#]=MIN(T_Coda[Random '#]))*1,0)),"")</f>
        <v>ʕ</v>
      </c>
    </row>
    <row r="139" spans="2:18" x14ac:dyDescent="0.25">
      <c r="B139" s="18" t="s">
        <v>115</v>
      </c>
      <c r="C139" s="9">
        <v>1</v>
      </c>
      <c r="D139" s="9">
        <v>0.1</v>
      </c>
      <c r="E139" s="6">
        <f ca="1">IF(T_Onset[[#This Row],[On/Off]]=1,RAND()/IF(T_Onset[[#This Row],[Weighting]]="",1,T_Onset[[#This Row],[Weighting]]),"")</f>
        <v>6.9729481405956024</v>
      </c>
      <c r="F139" s="15" t="str" cm="1">
        <f t="array" aca="1" ref="F139" ca="1">IFERROR(INDEX(T_Onset[Onset],MATCH(1,(T_Onset[Random '#]=MIN(T_Onset[Random '#]))*1,0)),"")</f>
        <v>ɭ</v>
      </c>
      <c r="N139" s="18" t="s">
        <v>281</v>
      </c>
      <c r="O139" s="9">
        <v>1</v>
      </c>
      <c r="P139" s="9">
        <v>0.1</v>
      </c>
      <c r="Q139" s="13">
        <f ca="1">IF(T_Coda[[#This Row],[On/Off]]=1,RAND()/IF(T_Coda[[#This Row],[Weighting]]="",1,T_Coda[[#This Row],[Weighting]]),"")</f>
        <v>1.6423856079126553</v>
      </c>
      <c r="R139" s="14" t="str" cm="1">
        <f t="array" aca="1" ref="R139" ca="1">IFERROR(INDEX(T_Coda[Coda],MATCH(1,(T_Coda[Random '#]=MIN(T_Coda[Random '#]))*1,0)),"")</f>
        <v>ʕ</v>
      </c>
    </row>
    <row r="140" spans="2:18" x14ac:dyDescent="0.25">
      <c r="B140" s="18" t="s">
        <v>118</v>
      </c>
      <c r="C140" s="9">
        <v>1</v>
      </c>
      <c r="D140" s="9">
        <v>0.1</v>
      </c>
      <c r="E140" s="6">
        <f ca="1">IF(T_Onset[[#This Row],[On/Off]]=1,RAND()/IF(T_Onset[[#This Row],[Weighting]]="",1,T_Onset[[#This Row],[Weighting]]),"")</f>
        <v>4.5927563353186747</v>
      </c>
      <c r="F140" s="15" t="str" cm="1">
        <f t="array" aca="1" ref="F140" ca="1">IFERROR(INDEX(T_Onset[Onset],MATCH(1,(T_Onset[Random '#]=MIN(T_Onset[Random '#]))*1,0)),"")</f>
        <v>ɭ</v>
      </c>
      <c r="N140" s="18" t="s">
        <v>262</v>
      </c>
      <c r="O140" s="9">
        <v>1</v>
      </c>
      <c r="P140" s="9">
        <v>0.1</v>
      </c>
      <c r="Q140" s="13">
        <f ca="1">IF(T_Coda[[#This Row],[On/Off]]=1,RAND()/IF(T_Coda[[#This Row],[Weighting]]="",1,T_Coda[[#This Row],[Weighting]]),"")</f>
        <v>2.281554094351653</v>
      </c>
      <c r="R140" s="14" t="str" cm="1">
        <f t="array" aca="1" ref="R140" ca="1">IFERROR(INDEX(T_Coda[Coda],MATCH(1,(T_Coda[Random '#]=MIN(T_Coda[Random '#]))*1,0)),"")</f>
        <v>ʕ</v>
      </c>
    </row>
    <row r="141" spans="2:18" x14ac:dyDescent="0.25">
      <c r="B141" s="18" t="s">
        <v>118</v>
      </c>
      <c r="C141" s="9">
        <v>1</v>
      </c>
      <c r="D141" s="9">
        <v>0.1</v>
      </c>
      <c r="E141" s="6">
        <f ca="1">IF(T_Onset[[#This Row],[On/Off]]=1,RAND()/IF(T_Onset[[#This Row],[Weighting]]="",1,T_Onset[[#This Row],[Weighting]]),"")</f>
        <v>7.5009623082735608</v>
      </c>
      <c r="F141" s="15" t="str" cm="1">
        <f t="array" aca="1" ref="F141" ca="1">IFERROR(INDEX(T_Onset[Onset],MATCH(1,(T_Onset[Random '#]=MIN(T_Onset[Random '#]))*1,0)),"")</f>
        <v>ɭ</v>
      </c>
      <c r="N141" s="18" t="s">
        <v>100</v>
      </c>
      <c r="O141" s="9">
        <v>1</v>
      </c>
      <c r="P141" s="9">
        <v>0.1</v>
      </c>
      <c r="Q141" s="13">
        <f ca="1">IF(T_Coda[[#This Row],[On/Off]]=1,RAND()/IF(T_Coda[[#This Row],[Weighting]]="",1,T_Coda[[#This Row],[Weighting]]),"")</f>
        <v>2.4337287164328911</v>
      </c>
      <c r="R141" s="14" t="str" cm="1">
        <f t="array" aca="1" ref="R141" ca="1">IFERROR(INDEX(T_Coda[Coda],MATCH(1,(T_Coda[Random '#]=MIN(T_Coda[Random '#]))*1,0)),"")</f>
        <v>ʕ</v>
      </c>
    </row>
    <row r="142" spans="2:18" x14ac:dyDescent="0.25">
      <c r="B142" s="18" t="s">
        <v>113</v>
      </c>
      <c r="C142" s="9">
        <v>1</v>
      </c>
      <c r="D142" s="9">
        <v>0.1</v>
      </c>
      <c r="E142" s="6">
        <f ca="1">IF(T_Onset[[#This Row],[On/Off]]=1,RAND()/IF(T_Onset[[#This Row],[Weighting]]="",1,T_Onset[[#This Row],[Weighting]]),"")</f>
        <v>7.1691227255432537</v>
      </c>
      <c r="F142" s="15" t="str" cm="1">
        <f t="array" aca="1" ref="F142" ca="1">IFERROR(INDEX(T_Onset[Onset],MATCH(1,(T_Onset[Random '#]=MIN(T_Onset[Random '#]))*1,0)),"")</f>
        <v>ɭ</v>
      </c>
      <c r="N142" s="18" t="s">
        <v>263</v>
      </c>
      <c r="O142" s="9">
        <v>1</v>
      </c>
      <c r="P142" s="9">
        <v>0.1</v>
      </c>
      <c r="Q142" s="13">
        <f ca="1">IF(T_Coda[[#This Row],[On/Off]]=1,RAND()/IF(T_Coda[[#This Row],[Weighting]]="",1,T_Coda[[#This Row],[Weighting]]),"")</f>
        <v>1.7325597559754069</v>
      </c>
      <c r="R142" s="14" t="str" cm="1">
        <f t="array" aca="1" ref="R142" ca="1">IFERROR(INDEX(T_Coda[Coda],MATCH(1,(T_Coda[Random '#]=MIN(T_Coda[Random '#]))*1,0)),"")</f>
        <v>ʕ</v>
      </c>
    </row>
    <row r="143" spans="2:18" x14ac:dyDescent="0.25">
      <c r="B143" s="18" t="s">
        <v>113</v>
      </c>
      <c r="C143" s="9">
        <v>1</v>
      </c>
      <c r="D143" s="9">
        <v>0.1</v>
      </c>
      <c r="E143" s="6">
        <f ca="1">IF(T_Onset[[#This Row],[On/Off]]=1,RAND()/IF(T_Onset[[#This Row],[Weighting]]="",1,T_Onset[[#This Row],[Weighting]]),"")</f>
        <v>7.0068769815868235</v>
      </c>
      <c r="F143" s="15" t="str" cm="1">
        <f t="array" aca="1" ref="F143" ca="1">IFERROR(INDEX(T_Onset[Onset],MATCH(1,(T_Onset[Random '#]=MIN(T_Onset[Random '#]))*1,0)),"")</f>
        <v>ɭ</v>
      </c>
      <c r="N143" s="18" t="s">
        <v>101</v>
      </c>
      <c r="O143" s="9">
        <v>1</v>
      </c>
      <c r="P143" s="9">
        <v>0.1</v>
      </c>
      <c r="Q143" s="13">
        <f ca="1">IF(T_Coda[[#This Row],[On/Off]]=1,RAND()/IF(T_Coda[[#This Row],[Weighting]]="",1,T_Coda[[#This Row],[Weighting]]),"")</f>
        <v>7.7918892621581763</v>
      </c>
      <c r="R143" s="14" t="str" cm="1">
        <f t="array" aca="1" ref="R143" ca="1">IFERROR(INDEX(T_Coda[Coda],MATCH(1,(T_Coda[Random '#]=MIN(T_Coda[Random '#]))*1,0)),"")</f>
        <v>ʕ</v>
      </c>
    </row>
    <row r="144" spans="2:18" x14ac:dyDescent="0.25">
      <c r="B144" s="18" t="s">
        <v>117</v>
      </c>
      <c r="C144" s="9">
        <v>1</v>
      </c>
      <c r="D144" s="9">
        <v>0.1</v>
      </c>
      <c r="E144" s="6">
        <f ca="1">IF(T_Onset[[#This Row],[On/Off]]=1,RAND()/IF(T_Onset[[#This Row],[Weighting]]="",1,T_Onset[[#This Row],[Weighting]]),"")</f>
        <v>1.5394153955098133</v>
      </c>
      <c r="F144" s="15" t="str" cm="1">
        <f t="array" aca="1" ref="F144" ca="1">IFERROR(INDEX(T_Onset[Onset],MATCH(1,(T_Onset[Random '#]=MIN(T_Onset[Random '#]))*1,0)),"")</f>
        <v>ɭ</v>
      </c>
      <c r="N144" s="18" t="s">
        <v>282</v>
      </c>
      <c r="O144" s="9">
        <v>1</v>
      </c>
      <c r="P144" s="9">
        <v>0.1</v>
      </c>
      <c r="Q144" s="13">
        <f ca="1">IF(T_Coda[[#This Row],[On/Off]]=1,RAND()/IF(T_Coda[[#This Row],[Weighting]]="",1,T_Coda[[#This Row],[Weighting]]),"")</f>
        <v>9.8838528671557029</v>
      </c>
      <c r="R144" s="14" t="str" cm="1">
        <f t="array" aca="1" ref="R144" ca="1">IFERROR(INDEX(T_Coda[Coda],MATCH(1,(T_Coda[Random '#]=MIN(T_Coda[Random '#]))*1,0)),"")</f>
        <v>ʕ</v>
      </c>
    </row>
    <row r="145" spans="2:18" x14ac:dyDescent="0.25">
      <c r="B145" s="18" t="s">
        <v>117</v>
      </c>
      <c r="C145" s="9">
        <v>1</v>
      </c>
      <c r="D145" s="9">
        <v>0.1</v>
      </c>
      <c r="E145" s="6">
        <f ca="1">IF(T_Onset[[#This Row],[On/Off]]=1,RAND()/IF(T_Onset[[#This Row],[Weighting]]="",1,T_Onset[[#This Row],[Weighting]]),"")</f>
        <v>1.2278670207135522</v>
      </c>
      <c r="F145" s="15" t="str" cm="1">
        <f t="array" aca="1" ref="F145" ca="1">IFERROR(INDEX(T_Onset[Onset],MATCH(1,(T_Onset[Random '#]=MIN(T_Onset[Random '#]))*1,0)),"")</f>
        <v>ɭ</v>
      </c>
      <c r="N145" s="18" t="s">
        <v>265</v>
      </c>
      <c r="O145" s="9">
        <v>1</v>
      </c>
      <c r="P145" s="9">
        <v>0.1</v>
      </c>
      <c r="Q145" s="13">
        <f ca="1">IF(T_Coda[[#This Row],[On/Off]]=1,RAND()/IF(T_Coda[[#This Row],[Weighting]]="",1,T_Coda[[#This Row],[Weighting]]),"")</f>
        <v>9.7871665355804911</v>
      </c>
      <c r="R145" s="14" t="str" cm="1">
        <f t="array" aca="1" ref="R145" ca="1">IFERROR(INDEX(T_Coda[Coda],MATCH(1,(T_Coda[Random '#]=MIN(T_Coda[Random '#]))*1,0)),"")</f>
        <v>ʕ</v>
      </c>
    </row>
    <row r="146" spans="2:18" x14ac:dyDescent="0.25">
      <c r="B146" s="18" t="s">
        <v>167</v>
      </c>
      <c r="C146" s="9">
        <v>1</v>
      </c>
      <c r="D146" s="9">
        <v>0.1</v>
      </c>
      <c r="E146" s="6">
        <f ca="1">IF(T_Onset[[#This Row],[On/Off]]=1,RAND()/IF(T_Onset[[#This Row],[Weighting]]="",1,T_Onset[[#This Row],[Weighting]]),"")</f>
        <v>3.7751157849884964</v>
      </c>
      <c r="F146" s="15" t="str" cm="1">
        <f t="array" aca="1" ref="F146" ca="1">IFERROR(INDEX(T_Onset[Onset],MATCH(1,(T_Onset[Random '#]=MIN(T_Onset[Random '#]))*1,0)),"")</f>
        <v>ɭ</v>
      </c>
      <c r="N146" s="18" t="s">
        <v>103</v>
      </c>
      <c r="O146" s="9">
        <v>1</v>
      </c>
      <c r="P146" s="9">
        <v>0.1</v>
      </c>
      <c r="Q146" s="13">
        <f ca="1">IF(T_Coda[[#This Row],[On/Off]]=1,RAND()/IF(T_Coda[[#This Row],[Weighting]]="",1,T_Coda[[#This Row],[Weighting]]),"")</f>
        <v>6.4017424297495316</v>
      </c>
      <c r="R146" s="14" t="str" cm="1">
        <f t="array" aca="1" ref="R146" ca="1">IFERROR(INDEX(T_Coda[Coda],MATCH(1,(T_Coda[Random '#]=MIN(T_Coda[Random '#]))*1,0)),"")</f>
        <v>ʕ</v>
      </c>
    </row>
    <row r="147" spans="2:18" x14ac:dyDescent="0.25">
      <c r="B147" s="18" t="s">
        <v>134</v>
      </c>
      <c r="C147" s="9">
        <v>1</v>
      </c>
      <c r="D147" s="9">
        <v>0.1</v>
      </c>
      <c r="E147" s="6">
        <f ca="1">IF(T_Onset[[#This Row],[On/Off]]=1,RAND()/IF(T_Onset[[#This Row],[Weighting]]="",1,T_Onset[[#This Row],[Weighting]]),"")</f>
        <v>6.0307629900551616</v>
      </c>
      <c r="F147" s="15" t="str" cm="1">
        <f t="array" aca="1" ref="F147" ca="1">IFERROR(INDEX(T_Onset[Onset],MATCH(1,(T_Onset[Random '#]=MIN(T_Onset[Random '#]))*1,0)),"")</f>
        <v>ɭ</v>
      </c>
      <c r="N147" s="18" t="s">
        <v>195</v>
      </c>
      <c r="O147" s="9">
        <v>1</v>
      </c>
      <c r="P147" s="9">
        <v>0.1</v>
      </c>
      <c r="Q147" s="13">
        <f ca="1">IF(T_Coda[[#This Row],[On/Off]]=1,RAND()/IF(T_Coda[[#This Row],[Weighting]]="",1,T_Coda[[#This Row],[Weighting]]),"")</f>
        <v>3.5846068731780276</v>
      </c>
      <c r="R147" s="14" t="str" cm="1">
        <f t="array" aca="1" ref="R147" ca="1">IFERROR(INDEX(T_Coda[Coda],MATCH(1,(T_Coda[Random '#]=MIN(T_Coda[Random '#]))*1,0)),"")</f>
        <v>ʕ</v>
      </c>
    </row>
    <row r="148" spans="2:18" x14ac:dyDescent="0.25">
      <c r="B148" s="18" t="s">
        <v>154</v>
      </c>
      <c r="C148" s="9">
        <v>1</v>
      </c>
      <c r="D148" s="9">
        <v>0.1</v>
      </c>
      <c r="E148" s="6">
        <f ca="1">IF(T_Onset[[#This Row],[On/Off]]=1,RAND()/IF(T_Onset[[#This Row],[Weighting]]="",1,T_Onset[[#This Row],[Weighting]]),"")</f>
        <v>4.8027243930468382</v>
      </c>
      <c r="F148" s="15" t="str" cm="1">
        <f t="array" aca="1" ref="F148" ca="1">IFERROR(INDEX(T_Onset[Onset],MATCH(1,(T_Onset[Random '#]=MIN(T_Onset[Random '#]))*1,0)),"")</f>
        <v>ɭ</v>
      </c>
      <c r="N148" s="18" t="s">
        <v>173</v>
      </c>
      <c r="O148" s="9">
        <v>1</v>
      </c>
      <c r="P148" s="9">
        <v>0.1</v>
      </c>
      <c r="Q148" s="13">
        <f ca="1">IF(T_Coda[[#This Row],[On/Off]]=1,RAND()/IF(T_Coda[[#This Row],[Weighting]]="",1,T_Coda[[#This Row],[Weighting]]),"")</f>
        <v>5.5152403616068995</v>
      </c>
      <c r="R148" s="14" t="str" cm="1">
        <f t="array" aca="1" ref="R148" ca="1">IFERROR(INDEX(T_Coda[Coda],MATCH(1,(T_Coda[Random '#]=MIN(T_Coda[Random '#]))*1,0)),"")</f>
        <v>ʕ</v>
      </c>
    </row>
    <row r="149" spans="2:18" x14ac:dyDescent="0.25">
      <c r="B149" s="18" t="s">
        <v>171</v>
      </c>
      <c r="C149" s="9">
        <v>1</v>
      </c>
      <c r="D149" s="9">
        <v>0.1</v>
      </c>
      <c r="E149" s="6">
        <f ca="1">IF(T_Onset[[#This Row],[On/Off]]=1,RAND()/IF(T_Onset[[#This Row],[Weighting]]="",1,T_Onset[[#This Row],[Weighting]]),"")</f>
        <v>3.4889633962377387</v>
      </c>
      <c r="F149" s="15" t="str" cm="1">
        <f t="array" aca="1" ref="F149" ca="1">IFERROR(INDEX(T_Onset[Onset],MATCH(1,(T_Onset[Random '#]=MIN(T_Onset[Random '#]))*1,0)),"")</f>
        <v>ɭ</v>
      </c>
      <c r="N149" s="18" t="s">
        <v>197</v>
      </c>
      <c r="O149" s="9">
        <v>1</v>
      </c>
      <c r="P149" s="9">
        <v>0.1</v>
      </c>
      <c r="Q149" s="13">
        <f ca="1">IF(T_Coda[[#This Row],[On/Off]]=1,RAND()/IF(T_Coda[[#This Row],[Weighting]]="",1,T_Coda[[#This Row],[Weighting]]),"")</f>
        <v>8.8939502079613995</v>
      </c>
      <c r="R149" s="14" t="str" cm="1">
        <f t="array" aca="1" ref="R149" ca="1">IFERROR(INDEX(T_Coda[Coda],MATCH(1,(T_Coda[Random '#]=MIN(T_Coda[Random '#]))*1,0)),"")</f>
        <v>ʕ</v>
      </c>
    </row>
    <row r="150" spans="2:18" x14ac:dyDescent="0.25">
      <c r="B150" s="18" t="s">
        <v>173</v>
      </c>
      <c r="C150" s="9">
        <v>1</v>
      </c>
      <c r="D150" s="9">
        <v>0.1</v>
      </c>
      <c r="E150" s="6">
        <f ca="1">IF(T_Onset[[#This Row],[On/Off]]=1,RAND()/IF(T_Onset[[#This Row],[Weighting]]="",1,T_Onset[[#This Row],[Weighting]]),"")</f>
        <v>9.8214522629440264</v>
      </c>
      <c r="F150" s="15" t="str" cm="1">
        <f t="array" aca="1" ref="F150" ca="1">IFERROR(INDEX(T_Onset[Onset],MATCH(1,(T_Onset[Random '#]=MIN(T_Onset[Random '#]))*1,0)),"")</f>
        <v>ɭ</v>
      </c>
      <c r="N150" s="18" t="s">
        <v>264</v>
      </c>
      <c r="O150" s="9">
        <v>1</v>
      </c>
      <c r="P150" s="9">
        <v>0.1</v>
      </c>
      <c r="Q150" s="13">
        <f ca="1">IF(T_Coda[[#This Row],[On/Off]]=1,RAND()/IF(T_Coda[[#This Row],[Weighting]]="",1,T_Coda[[#This Row],[Weighting]]),"")</f>
        <v>5.9861046778106415</v>
      </c>
      <c r="R150" s="14" t="str" cm="1">
        <f t="array" aca="1" ref="R150" ca="1">IFERROR(INDEX(T_Coda[Coda],MATCH(1,(T_Coda[Random '#]=MIN(T_Coda[Random '#]))*1,0)),"")</f>
        <v>ʕ</v>
      </c>
    </row>
    <row r="151" spans="2:18" x14ac:dyDescent="0.25">
      <c r="B151" s="18" t="s">
        <v>172</v>
      </c>
      <c r="C151" s="9">
        <v>1</v>
      </c>
      <c r="D151" s="9">
        <v>0.1</v>
      </c>
      <c r="E151" s="6">
        <f ca="1">IF(T_Onset[[#This Row],[On/Off]]=1,RAND()/IF(T_Onset[[#This Row],[Weighting]]="",1,T_Onset[[#This Row],[Weighting]]),"")</f>
        <v>6.5555490058275154</v>
      </c>
      <c r="F151" s="15" t="str" cm="1">
        <f t="array" aca="1" ref="F151" ca="1">IFERROR(INDEX(T_Onset[Onset],MATCH(1,(T_Onset[Random '#]=MIN(T_Onset[Random '#]))*1,0)),"")</f>
        <v>ɭ</v>
      </c>
      <c r="N151" s="18" t="s">
        <v>207</v>
      </c>
      <c r="O151" s="9">
        <v>1</v>
      </c>
      <c r="P151" s="9">
        <v>0.1</v>
      </c>
      <c r="Q151" s="13">
        <f ca="1">IF(T_Coda[[#This Row],[On/Off]]=1,RAND()/IF(T_Coda[[#This Row],[Weighting]]="",1,T_Coda[[#This Row],[Weighting]]),"")</f>
        <v>0.29286712282053595</v>
      </c>
      <c r="R151" s="14" t="str" cm="1">
        <f t="array" aca="1" ref="R151" ca="1">IFERROR(INDEX(T_Coda[Coda],MATCH(1,(T_Coda[Random '#]=MIN(T_Coda[Random '#]))*1,0)),"")</f>
        <v>ʕ</v>
      </c>
    </row>
    <row r="152" spans="2:18" x14ac:dyDescent="0.25">
      <c r="B152" s="18" t="s">
        <v>165</v>
      </c>
      <c r="C152" s="9">
        <v>1</v>
      </c>
      <c r="D152" s="9">
        <v>0.1</v>
      </c>
      <c r="E152" s="6">
        <f ca="1">IF(T_Onset[[#This Row],[On/Off]]=1,RAND()/IF(T_Onset[[#This Row],[Weighting]]="",1,T_Onset[[#This Row],[Weighting]]),"")</f>
        <v>9.9028216118238817</v>
      </c>
      <c r="F152" s="15" t="str" cm="1">
        <f t="array" aca="1" ref="F152" ca="1">IFERROR(INDEX(T_Onset[Onset],MATCH(1,(T_Onset[Random '#]=MIN(T_Onset[Random '#]))*1,0)),"")</f>
        <v>ɭ</v>
      </c>
      <c r="N152" s="18" t="s">
        <v>196</v>
      </c>
      <c r="O152" s="9">
        <v>1</v>
      </c>
      <c r="P152" s="9">
        <v>0.1</v>
      </c>
      <c r="Q152" s="13">
        <f ca="1">IF(T_Coda[[#This Row],[On/Off]]=1,RAND()/IF(T_Coda[[#This Row],[Weighting]]="",1,T_Coda[[#This Row],[Weighting]]),"")</f>
        <v>1.3662496463239471</v>
      </c>
      <c r="R152" s="14" t="str" cm="1">
        <f t="array" aca="1" ref="R152" ca="1">IFERROR(INDEX(T_Coda[Coda],MATCH(1,(T_Coda[Random '#]=MIN(T_Coda[Random '#]))*1,0)),"")</f>
        <v>ʕ</v>
      </c>
    </row>
    <row r="153" spans="2:18" x14ac:dyDescent="0.25">
      <c r="B153" s="18" t="s">
        <v>131</v>
      </c>
      <c r="C153" s="9">
        <v>1</v>
      </c>
      <c r="D153" s="9">
        <v>0.1</v>
      </c>
      <c r="E153" s="6">
        <f ca="1">IF(T_Onset[[#This Row],[On/Off]]=1,RAND()/IF(T_Onset[[#This Row],[Weighting]]="",1,T_Onset[[#This Row],[Weighting]]),"")</f>
        <v>4.0459255055068297</v>
      </c>
      <c r="F153" s="15" t="str" cm="1">
        <f t="array" aca="1" ref="F153" ca="1">IFERROR(INDEX(T_Onset[Onset],MATCH(1,(T_Onset[Random '#]=MIN(T_Onset[Random '#]))*1,0)),"")</f>
        <v>ɭ</v>
      </c>
      <c r="N153" s="18" t="s">
        <v>278</v>
      </c>
      <c r="O153" s="9">
        <v>1</v>
      </c>
      <c r="P153" s="9">
        <v>0.1</v>
      </c>
      <c r="Q153" s="13">
        <f ca="1">IF(T_Coda[[#This Row],[On/Off]]=1,RAND()/IF(T_Coda[[#This Row],[Weighting]]="",1,T_Coda[[#This Row],[Weighting]]),"")</f>
        <v>6.9184702313372535</v>
      </c>
      <c r="R153" s="14" t="str" cm="1">
        <f t="array" aca="1" ref="R153" ca="1">IFERROR(INDEX(T_Coda[Coda],MATCH(1,(T_Coda[Random '#]=MIN(T_Coda[Random '#]))*1,0)),"")</f>
        <v>ʕ</v>
      </c>
    </row>
    <row r="154" spans="2:18" x14ac:dyDescent="0.25">
      <c r="B154" s="18" t="s">
        <v>149</v>
      </c>
      <c r="C154" s="9">
        <v>1</v>
      </c>
      <c r="D154" s="9">
        <v>0.1</v>
      </c>
      <c r="E154" s="6">
        <f ca="1">IF(T_Onset[[#This Row],[On/Off]]=1,RAND()/IF(T_Onset[[#This Row],[Weighting]]="",1,T_Onset[[#This Row],[Weighting]]),"")</f>
        <v>3.6803275507264619</v>
      </c>
      <c r="F154" s="15" t="str" cm="1">
        <f t="array" aca="1" ref="F154" ca="1">IFERROR(INDEX(T_Onset[Onset],MATCH(1,(T_Onset[Random '#]=MIN(T_Onset[Random '#]))*1,0)),"")</f>
        <v>ɭ</v>
      </c>
      <c r="N154" s="18" t="s">
        <v>256</v>
      </c>
      <c r="O154" s="9">
        <v>1</v>
      </c>
      <c r="P154" s="9">
        <v>0.1</v>
      </c>
      <c r="Q154" s="13">
        <f ca="1">IF(T_Coda[[#This Row],[On/Off]]=1,RAND()/IF(T_Coda[[#This Row],[Weighting]]="",1,T_Coda[[#This Row],[Weighting]]),"")</f>
        <v>9.8018068964999134</v>
      </c>
      <c r="R154" s="14" t="str" cm="1">
        <f t="array" aca="1" ref="R154" ca="1">IFERROR(INDEX(T_Coda[Coda],MATCH(1,(T_Coda[Random '#]=MIN(T_Coda[Random '#]))*1,0)),"")</f>
        <v>ʕ</v>
      </c>
    </row>
    <row r="155" spans="2:18" x14ac:dyDescent="0.25">
      <c r="B155" s="18" t="s">
        <v>169</v>
      </c>
      <c r="C155" s="9">
        <v>1</v>
      </c>
      <c r="D155" s="9">
        <v>0.1</v>
      </c>
      <c r="E155" s="6">
        <f ca="1">IF(T_Onset[[#This Row],[On/Off]]=1,RAND()/IF(T_Onset[[#This Row],[Weighting]]="",1,T_Onset[[#This Row],[Weighting]]),"")</f>
        <v>0.76100558287663267</v>
      </c>
      <c r="F155" s="15" t="str" cm="1">
        <f t="array" aca="1" ref="F155" ca="1">IFERROR(INDEX(T_Onset[Onset],MATCH(1,(T_Onset[Random '#]=MIN(T_Onset[Random '#]))*1,0)),"")</f>
        <v>ɭ</v>
      </c>
      <c r="N155" s="18" t="s">
        <v>233</v>
      </c>
      <c r="O155" s="9">
        <v>1</v>
      </c>
      <c r="P155" s="9">
        <v>0.1</v>
      </c>
      <c r="Q155" s="13">
        <f ca="1">IF(T_Coda[[#This Row],[On/Off]]=1,RAND()/IF(T_Coda[[#This Row],[Weighting]]="",1,T_Coda[[#This Row],[Weighting]]),"")</f>
        <v>7.0501734207544695</v>
      </c>
      <c r="R155" s="14" t="str" cm="1">
        <f t="array" aca="1" ref="R155" ca="1">IFERROR(INDEX(T_Coda[Coda],MATCH(1,(T_Coda[Random '#]=MIN(T_Coda[Random '#]))*1,0)),"")</f>
        <v>ʕ</v>
      </c>
    </row>
    <row r="156" spans="2:18" x14ac:dyDescent="0.25">
      <c r="B156" s="18" t="s">
        <v>157</v>
      </c>
      <c r="C156" s="9">
        <v>1</v>
      </c>
      <c r="D156" s="9">
        <v>0.1</v>
      </c>
      <c r="E156" s="6">
        <f ca="1">IF(T_Onset[[#This Row],[On/Off]]=1,RAND()/IF(T_Onset[[#This Row],[Weighting]]="",1,T_Onset[[#This Row],[Weighting]]),"")</f>
        <v>7.630547484410874</v>
      </c>
      <c r="F156" s="15" t="str" cm="1">
        <f t="array" aca="1" ref="F156" ca="1">IFERROR(INDEX(T_Onset[Onset],MATCH(1,(T_Onset[Random '#]=MIN(T_Onset[Random '#]))*1,0)),"")</f>
        <v>ɭ</v>
      </c>
      <c r="N156" s="18" t="s">
        <v>291</v>
      </c>
      <c r="O156" s="9">
        <v>1</v>
      </c>
      <c r="P156" s="9">
        <v>0.1</v>
      </c>
      <c r="Q156" s="13">
        <f ca="1">IF(T_Coda[[#This Row],[On/Off]]=1,RAND()/IF(T_Coda[[#This Row],[Weighting]]="",1,T_Coda[[#This Row],[Weighting]]),"")</f>
        <v>9.3551864716413071</v>
      </c>
      <c r="R156" s="14" t="str" cm="1">
        <f t="array" aca="1" ref="R156" ca="1">IFERROR(INDEX(T_Coda[Coda],MATCH(1,(T_Coda[Random '#]=MIN(T_Coda[Random '#]))*1,0)),"")</f>
        <v>ʕ</v>
      </c>
    </row>
    <row r="157" spans="2:18" x14ac:dyDescent="0.25">
      <c r="B157" s="18" t="s">
        <v>180</v>
      </c>
      <c r="C157" s="9">
        <v>1</v>
      </c>
      <c r="D157" s="9">
        <v>0.1</v>
      </c>
      <c r="E157" s="6">
        <f ca="1">IF(T_Onset[[#This Row],[On/Off]]=1,RAND()/IF(T_Onset[[#This Row],[Weighting]]="",1,T_Onset[[#This Row],[Weighting]]),"")</f>
        <v>8.2894182455772221</v>
      </c>
      <c r="F157" s="15" t="str" cm="1">
        <f t="array" aca="1" ref="F157" ca="1">IFERROR(INDEX(T_Onset[Onset],MATCH(1,(T_Onset[Random '#]=MIN(T_Onset[Random '#]))*1,0)),"")</f>
        <v>ɭ</v>
      </c>
      <c r="N157" s="18" t="s">
        <v>241</v>
      </c>
      <c r="O157" s="9">
        <v>1</v>
      </c>
      <c r="P157" s="9">
        <v>0.1</v>
      </c>
      <c r="Q157" s="13">
        <f ca="1">IF(T_Coda[[#This Row],[On/Off]]=1,RAND()/IF(T_Coda[[#This Row],[Weighting]]="",1,T_Coda[[#This Row],[Weighting]]),"")</f>
        <v>4.1027576864888253</v>
      </c>
      <c r="R157" s="14" t="str" cm="1">
        <f t="array" aca="1" ref="R157" ca="1">IFERROR(INDEX(T_Coda[Coda],MATCH(1,(T_Coda[Random '#]=MIN(T_Coda[Random '#]))*1,0)),"")</f>
        <v>ʕ</v>
      </c>
    </row>
    <row r="158" spans="2:18" x14ac:dyDescent="0.25">
      <c r="B158" s="18" t="s">
        <v>132</v>
      </c>
      <c r="C158" s="9">
        <v>1</v>
      </c>
      <c r="D158" s="9">
        <v>0.1</v>
      </c>
      <c r="E158" s="6">
        <f ca="1">IF(T_Onset[[#This Row],[On/Off]]=1,RAND()/IF(T_Onset[[#This Row],[Weighting]]="",1,T_Onset[[#This Row],[Weighting]]),"")</f>
        <v>0.10366243025361266</v>
      </c>
      <c r="F158" s="15" t="str" cm="1">
        <f t="array" aca="1" ref="F158" ca="1">IFERROR(INDEX(T_Onset[Onset],MATCH(1,(T_Onset[Random '#]=MIN(T_Onset[Random '#]))*1,0)),"")</f>
        <v>ɭ</v>
      </c>
      <c r="N158" s="18" t="s">
        <v>257</v>
      </c>
      <c r="O158" s="9">
        <v>1</v>
      </c>
      <c r="P158" s="9">
        <v>0.1</v>
      </c>
      <c r="Q158" s="13">
        <f ca="1">IF(T_Coda[[#This Row],[On/Off]]=1,RAND()/IF(T_Coda[[#This Row],[Weighting]]="",1,T_Coda[[#This Row],[Weighting]]),"")</f>
        <v>0.92356478147770149</v>
      </c>
      <c r="R158" s="14" t="str" cm="1">
        <f t="array" aca="1" ref="R158" ca="1">IFERROR(INDEX(T_Coda[Coda],MATCH(1,(T_Coda[Random '#]=MIN(T_Coda[Random '#]))*1,0)),"")</f>
        <v>ʕ</v>
      </c>
    </row>
    <row r="159" spans="2:18" x14ac:dyDescent="0.25">
      <c r="B159" s="18" t="s">
        <v>133</v>
      </c>
      <c r="C159" s="9">
        <v>1</v>
      </c>
      <c r="D159" s="9">
        <v>0.1</v>
      </c>
      <c r="E159" s="6">
        <f ca="1">IF(T_Onset[[#This Row],[On/Off]]=1,RAND()/IF(T_Onset[[#This Row],[Weighting]]="",1,T_Onset[[#This Row],[Weighting]]),"")</f>
        <v>3.6850713337656669</v>
      </c>
      <c r="F159" s="15" t="str" cm="1">
        <f t="array" aca="1" ref="F159" ca="1">IFERROR(INDEX(T_Onset[Onset],MATCH(1,(T_Onset[Random '#]=MIN(T_Onset[Random '#]))*1,0)),"")</f>
        <v>ɭ</v>
      </c>
      <c r="N159" s="18" t="s">
        <v>203</v>
      </c>
      <c r="O159" s="9">
        <v>1</v>
      </c>
      <c r="P159" s="9">
        <v>0.1</v>
      </c>
      <c r="Q159" s="13">
        <f ca="1">IF(T_Coda[[#This Row],[On/Off]]=1,RAND()/IF(T_Coda[[#This Row],[Weighting]]="",1,T_Coda[[#This Row],[Weighting]]),"")</f>
        <v>3.4316902343399822</v>
      </c>
      <c r="R159" s="14" t="str" cm="1">
        <f t="array" aca="1" ref="R159" ca="1">IFERROR(INDEX(T_Coda[Coda],MATCH(1,(T_Coda[Random '#]=MIN(T_Coda[Random '#]))*1,0)),"")</f>
        <v>ʕ</v>
      </c>
    </row>
    <row r="160" spans="2:18" x14ac:dyDescent="0.25">
      <c r="B160" s="18" t="s">
        <v>145</v>
      </c>
      <c r="C160" s="9">
        <v>1</v>
      </c>
      <c r="D160" s="9">
        <v>0.1</v>
      </c>
      <c r="E160" s="6">
        <f ca="1">IF(T_Onset[[#This Row],[On/Off]]=1,RAND()/IF(T_Onset[[#This Row],[Weighting]]="",1,T_Onset[[#This Row],[Weighting]]),"")</f>
        <v>8.8993011283002783</v>
      </c>
      <c r="F160" s="15" t="str" cm="1">
        <f t="array" aca="1" ref="F160" ca="1">IFERROR(INDEX(T_Onset[Onset],MATCH(1,(T_Onset[Random '#]=MIN(T_Onset[Random '#]))*1,0)),"")</f>
        <v>ɭ</v>
      </c>
      <c r="N160" s="18" t="s">
        <v>292</v>
      </c>
      <c r="O160" s="9">
        <v>1</v>
      </c>
      <c r="P160" s="9">
        <v>0.1</v>
      </c>
      <c r="Q160" s="13">
        <f ca="1">IF(T_Coda[[#This Row],[On/Off]]=1,RAND()/IF(T_Coda[[#This Row],[Weighting]]="",1,T_Coda[[#This Row],[Weighting]]),"")</f>
        <v>1.6102051858374145</v>
      </c>
      <c r="R160" s="14" t="str" cm="1">
        <f t="array" aca="1" ref="R160" ca="1">IFERROR(INDEX(T_Coda[Coda],MATCH(1,(T_Coda[Random '#]=MIN(T_Coda[Random '#]))*1,0)),"")</f>
        <v>ʕ</v>
      </c>
    </row>
    <row r="161" spans="2:18" x14ac:dyDescent="0.25">
      <c r="B161" s="18" t="s">
        <v>170</v>
      </c>
      <c r="C161" s="9">
        <v>1</v>
      </c>
      <c r="D161" s="9">
        <v>0.1</v>
      </c>
      <c r="E161" s="6">
        <f ca="1">IF(T_Onset[[#This Row],[On/Off]]=1,RAND()/IF(T_Onset[[#This Row],[Weighting]]="",1,T_Onset[[#This Row],[Weighting]]),"")</f>
        <v>9.5101110557615733</v>
      </c>
      <c r="F161" s="15" t="str" cm="1">
        <f t="array" aca="1" ref="F161" ca="1">IFERROR(INDEX(T_Onset[Onset],MATCH(1,(T_Onset[Random '#]=MIN(T_Onset[Random '#]))*1,0)),"")</f>
        <v>ɭ</v>
      </c>
      <c r="N161" s="18" t="s">
        <v>192</v>
      </c>
      <c r="O161" s="9">
        <v>1</v>
      </c>
      <c r="P161" s="9">
        <v>0.1</v>
      </c>
      <c r="Q161" s="13">
        <f ca="1">IF(T_Coda[[#This Row],[On/Off]]=1,RAND()/IF(T_Coda[[#This Row],[Weighting]]="",1,T_Coda[[#This Row],[Weighting]]),"")</f>
        <v>3.9268035091832774</v>
      </c>
      <c r="R161" s="14" t="str" cm="1">
        <f t="array" aca="1" ref="R161" ca="1">IFERROR(INDEX(T_Coda[Coda],MATCH(1,(T_Coda[Random '#]=MIN(T_Coda[Random '#]))*1,0)),"")</f>
        <v>ʕ</v>
      </c>
    </row>
    <row r="162" spans="2:18" x14ac:dyDescent="0.25">
      <c r="B162" s="18" t="s">
        <v>143</v>
      </c>
      <c r="C162" s="9">
        <v>1</v>
      </c>
      <c r="D162" s="9">
        <v>0.1</v>
      </c>
      <c r="E162" s="6">
        <f ca="1">IF(T_Onset[[#This Row],[On/Off]]=1,RAND()/IF(T_Onset[[#This Row],[Weighting]]="",1,T_Onset[[#This Row],[Weighting]]),"")</f>
        <v>3.2488217902271144</v>
      </c>
      <c r="F162" s="15" t="str" cm="1">
        <f t="array" aca="1" ref="F162" ca="1">IFERROR(INDEX(T_Onset[Onset],MATCH(1,(T_Onset[Random '#]=MIN(T_Onset[Random '#]))*1,0)),"")</f>
        <v>ɭ</v>
      </c>
      <c r="N162" s="18" t="s">
        <v>279</v>
      </c>
      <c r="O162" s="9">
        <v>1</v>
      </c>
      <c r="P162" s="9">
        <v>0.1</v>
      </c>
      <c r="Q162" s="13">
        <f ca="1">IF(T_Coda[[#This Row],[On/Off]]=1,RAND()/IF(T_Coda[[#This Row],[Weighting]]="",1,T_Coda[[#This Row],[Weighting]]),"")</f>
        <v>8.2470092129948789</v>
      </c>
      <c r="R162" s="14" t="str" cm="1">
        <f t="array" aca="1" ref="R162" ca="1">IFERROR(INDEX(T_Coda[Coda],MATCH(1,(T_Coda[Random '#]=MIN(T_Coda[Random '#]))*1,0)),"")</f>
        <v>ʕ</v>
      </c>
    </row>
    <row r="163" spans="2:18" x14ac:dyDescent="0.25">
      <c r="B163" s="17" t="s">
        <v>308</v>
      </c>
      <c r="C163" s="2">
        <v>1</v>
      </c>
      <c r="D163" s="2">
        <v>0.5</v>
      </c>
      <c r="E163" s="6">
        <f ca="1">IF(T_Onset[[#This Row],[On/Off]]=1,RAND()/IF(T_Onset[[#This Row],[Weighting]]="",1,T_Onset[[#This Row],[Weighting]]),"")</f>
        <v>5.6853929874435716E-2</v>
      </c>
      <c r="F163" s="15" t="str" cm="1">
        <f t="array" aca="1" ref="F163" ca="1">IFERROR(INDEX(T_Onset[Onset],MATCH(1,(T_Onset[Random '#]=MIN(T_Onset[Random '#]))*1,0)),"")</f>
        <v>ɭ</v>
      </c>
      <c r="N163" s="18" t="s">
        <v>259</v>
      </c>
      <c r="O163" s="9">
        <v>1</v>
      </c>
      <c r="P163" s="9">
        <v>0.1</v>
      </c>
      <c r="Q163" s="13">
        <f ca="1">IF(T_Coda[[#This Row],[On/Off]]=1,RAND()/IF(T_Coda[[#This Row],[Weighting]]="",1,T_Coda[[#This Row],[Weighting]]),"")</f>
        <v>0.65727863359669625</v>
      </c>
      <c r="R163" s="14" t="str" cm="1">
        <f t="array" aca="1" ref="R163" ca="1">IFERROR(INDEX(T_Coda[Coda],MATCH(1,(T_Coda[Random '#]=MIN(T_Coda[Random '#]))*1,0)),"")</f>
        <v>ʕ</v>
      </c>
    </row>
    <row r="164" spans="2:18" x14ac:dyDescent="0.25">
      <c r="B164" s="17" t="s">
        <v>309</v>
      </c>
      <c r="C164" s="2">
        <v>1</v>
      </c>
      <c r="D164" s="2">
        <v>0.5</v>
      </c>
      <c r="E164" s="6">
        <f ca="1">IF(T_Onset[[#This Row],[On/Off]]=1,RAND()/IF(T_Onset[[#This Row],[Weighting]]="",1,T_Onset[[#This Row],[Weighting]]),"")</f>
        <v>1.7880209410107712</v>
      </c>
      <c r="F164" s="15" t="str" cm="1">
        <f t="array" aca="1" ref="F164" ca="1">IFERROR(INDEX(T_Onset[Onset],MATCH(1,(T_Onset[Random '#]=MIN(T_Onset[Random '#]))*1,0)),"")</f>
        <v>ɭ</v>
      </c>
      <c r="N164" s="18" t="s">
        <v>235</v>
      </c>
      <c r="O164" s="9">
        <v>1</v>
      </c>
      <c r="P164" s="9">
        <v>0.1</v>
      </c>
      <c r="Q164" s="13">
        <f ca="1">IF(T_Coda[[#This Row],[On/Off]]=1,RAND()/IF(T_Coda[[#This Row],[Weighting]]="",1,T_Coda[[#This Row],[Weighting]]),"")</f>
        <v>0.85832316977168976</v>
      </c>
      <c r="R164" s="14" t="str" cm="1">
        <f t="array" aca="1" ref="R164" ca="1">IFERROR(INDEX(T_Coda[Coda],MATCH(1,(T_Coda[Random '#]=MIN(T_Coda[Random '#]))*1,0)),"")</f>
        <v>ʕ</v>
      </c>
    </row>
    <row r="165" spans="2:18" x14ac:dyDescent="0.25">
      <c r="B165" s="17" t="s">
        <v>310</v>
      </c>
      <c r="C165" s="2">
        <v>1</v>
      </c>
      <c r="D165" s="2">
        <v>0.5</v>
      </c>
      <c r="E165" s="6">
        <f ca="1">IF(T_Onset[[#This Row],[On/Off]]=1,RAND()/IF(T_Onset[[#This Row],[Weighting]]="",1,T_Onset[[#This Row],[Weighting]]),"")</f>
        <v>1.2146116681534191</v>
      </c>
      <c r="F165" s="15" t="str" cm="1">
        <f t="array" aca="1" ref="F165" ca="1">IFERROR(INDEX(T_Onset[Onset],MATCH(1,(T_Onset[Random '#]=MIN(T_Onset[Random '#]))*1,0)),"")</f>
        <v>ɭ</v>
      </c>
      <c r="N165" s="18" t="s">
        <v>287</v>
      </c>
      <c r="O165" s="9">
        <v>1</v>
      </c>
      <c r="P165" s="9">
        <v>0.1</v>
      </c>
      <c r="Q165" s="13">
        <f ca="1">IF(T_Coda[[#This Row],[On/Off]]=1,RAND()/IF(T_Coda[[#This Row],[Weighting]]="",1,T_Coda[[#This Row],[Weighting]]),"")</f>
        <v>7.3838413939552767</v>
      </c>
      <c r="R165" s="14" t="str" cm="1">
        <f t="array" aca="1" ref="R165" ca="1">IFERROR(INDEX(T_Coda[Coda],MATCH(1,(T_Coda[Random '#]=MIN(T_Coda[Random '#]))*1,0)),"")</f>
        <v>ʕ</v>
      </c>
    </row>
    <row r="166" spans="2:18" x14ac:dyDescent="0.25">
      <c r="B166" s="17" t="s">
        <v>311</v>
      </c>
      <c r="C166" s="2">
        <v>1</v>
      </c>
      <c r="D166" s="2">
        <v>0.5</v>
      </c>
      <c r="E166" s="6">
        <f ca="1">IF(T_Onset[[#This Row],[On/Off]]=1,RAND()/IF(T_Onset[[#This Row],[Weighting]]="",1,T_Onset[[#This Row],[Weighting]]),"")</f>
        <v>0.33757699855017687</v>
      </c>
      <c r="F166" s="15" t="str" cm="1">
        <f t="array" aca="1" ref="F166" ca="1">IFERROR(INDEX(T_Onset[Onset],MATCH(1,(T_Onset[Random '#]=MIN(T_Onset[Random '#]))*1,0)),"")</f>
        <v>ɭ</v>
      </c>
      <c r="N166" s="18" t="s">
        <v>293</v>
      </c>
      <c r="O166" s="9">
        <v>1</v>
      </c>
      <c r="P166" s="9">
        <v>0.1</v>
      </c>
      <c r="Q166" s="13">
        <f ca="1">IF(T_Coda[[#This Row],[On/Off]]=1,RAND()/IF(T_Coda[[#This Row],[Weighting]]="",1,T_Coda[[#This Row],[Weighting]]),"")</f>
        <v>9.1555843554154333</v>
      </c>
      <c r="R166" s="14" t="str" cm="1">
        <f t="array" aca="1" ref="R166" ca="1">IFERROR(INDEX(T_Coda[Coda],MATCH(1,(T_Coda[Random '#]=MIN(T_Coda[Random '#]))*1,0)),"")</f>
        <v>ʕ</v>
      </c>
    </row>
    <row r="167" spans="2:18" x14ac:dyDescent="0.25">
      <c r="B167" s="17" t="s">
        <v>312</v>
      </c>
      <c r="C167" s="2">
        <v>1</v>
      </c>
      <c r="D167" s="2">
        <v>0.5</v>
      </c>
      <c r="E167" s="6">
        <f ca="1">IF(T_Onset[[#This Row],[On/Off]]=1,RAND()/IF(T_Onset[[#This Row],[Weighting]]="",1,T_Onset[[#This Row],[Weighting]]),"")</f>
        <v>1.4596274394067357</v>
      </c>
      <c r="F167" s="15" t="str" cm="1">
        <f t="array" aca="1" ref="F167" ca="1">IFERROR(INDEX(T_Onset[Onset],MATCH(1,(T_Onset[Random '#]=MIN(T_Onset[Random '#]))*1,0)),"")</f>
        <v>ɭ</v>
      </c>
      <c r="N167" s="18" t="s">
        <v>242</v>
      </c>
      <c r="O167" s="9">
        <v>1</v>
      </c>
      <c r="P167" s="9">
        <v>0.1</v>
      </c>
      <c r="Q167" s="13">
        <f ca="1">IF(T_Coda[[#This Row],[On/Off]]=1,RAND()/IF(T_Coda[[#This Row],[Weighting]]="",1,T_Coda[[#This Row],[Weighting]]),"")</f>
        <v>1.7168265410360595</v>
      </c>
      <c r="R167" s="14" t="str" cm="1">
        <f t="array" aca="1" ref="R167" ca="1">IFERROR(INDEX(T_Coda[Coda],MATCH(1,(T_Coda[Random '#]=MIN(T_Coda[Random '#]))*1,0)),"")</f>
        <v>ʕ</v>
      </c>
    </row>
    <row r="168" spans="2:18" x14ac:dyDescent="0.25">
      <c r="B168" s="17" t="s">
        <v>313</v>
      </c>
      <c r="C168" s="2">
        <v>1</v>
      </c>
      <c r="D168" s="2">
        <v>0.5</v>
      </c>
      <c r="E168" s="6">
        <f ca="1">IF(T_Onset[[#This Row],[On/Off]]=1,RAND()/IF(T_Onset[[#This Row],[Weighting]]="",1,T_Onset[[#This Row],[Weighting]]),"")</f>
        <v>0.26713406470339152</v>
      </c>
      <c r="F168" s="15" t="str" cm="1">
        <f t="array" aca="1" ref="F168" ca="1">IFERROR(INDEX(T_Onset[Onset],MATCH(1,(T_Onset[Random '#]=MIN(T_Onset[Random '#]))*1,0)),"")</f>
        <v>ɭ</v>
      </c>
      <c r="N168" s="18" t="s">
        <v>294</v>
      </c>
      <c r="O168" s="9">
        <v>1</v>
      </c>
      <c r="P168" s="9">
        <v>0.1</v>
      </c>
      <c r="Q168" s="13">
        <f ca="1">IF(T_Coda[[#This Row],[On/Off]]=1,RAND()/IF(T_Coda[[#This Row],[Weighting]]="",1,T_Coda[[#This Row],[Weighting]]),"")</f>
        <v>7.005855057920594</v>
      </c>
      <c r="R168" s="14" t="str" cm="1">
        <f t="array" aca="1" ref="R168" ca="1">IFERROR(INDEX(T_Coda[Coda],MATCH(1,(T_Coda[Random '#]=MIN(T_Coda[Random '#]))*1,0)),"")</f>
        <v>ʕ</v>
      </c>
    </row>
    <row r="169" spans="2:18" x14ac:dyDescent="0.25">
      <c r="B169" s="17" t="s">
        <v>314</v>
      </c>
      <c r="C169" s="2">
        <v>1</v>
      </c>
      <c r="D169" s="2">
        <v>0.5</v>
      </c>
      <c r="E169" s="6">
        <f ca="1">IF(T_Onset[[#This Row],[On/Off]]=1,RAND()/IF(T_Onset[[#This Row],[Weighting]]="",1,T_Onset[[#This Row],[Weighting]]),"")</f>
        <v>0.43362623676695877</v>
      </c>
      <c r="F169" s="15" t="str" cm="1">
        <f t="array" aca="1" ref="F169" ca="1">IFERROR(INDEX(T_Onset[Onset],MATCH(1,(T_Onset[Random '#]=MIN(T_Onset[Random '#]))*1,0)),"")</f>
        <v>ɭ</v>
      </c>
      <c r="N169" s="18" t="s">
        <v>243</v>
      </c>
      <c r="O169" s="9">
        <v>1</v>
      </c>
      <c r="P169" s="9">
        <v>0.1</v>
      </c>
      <c r="Q169" s="13">
        <f ca="1">IF(T_Coda[[#This Row],[On/Off]]=1,RAND()/IF(T_Coda[[#This Row],[Weighting]]="",1,T_Coda[[#This Row],[Weighting]]),"")</f>
        <v>5.3582299305280321</v>
      </c>
      <c r="R169" s="14" t="str" cm="1">
        <f t="array" aca="1" ref="R169" ca="1">IFERROR(INDEX(T_Coda[Coda],MATCH(1,(T_Coda[Random '#]=MIN(T_Coda[Random '#]))*1,0)),"")</f>
        <v>ʕ</v>
      </c>
    </row>
    <row r="170" spans="2:18" x14ac:dyDescent="0.25">
      <c r="B170" s="17" t="s">
        <v>315</v>
      </c>
      <c r="C170" s="2">
        <v>1</v>
      </c>
      <c r="D170" s="2">
        <v>0.5</v>
      </c>
      <c r="E170" s="6">
        <f ca="1">IF(T_Onset[[#This Row],[On/Off]]=1,RAND()/IF(T_Onset[[#This Row],[Weighting]]="",1,T_Onset[[#This Row],[Weighting]]),"")</f>
        <v>1.5121002919735262</v>
      </c>
      <c r="F170" s="15" t="str" cm="1">
        <f t="array" aca="1" ref="F170" ca="1">IFERROR(INDEX(T_Onset[Onset],MATCH(1,(T_Onset[Random '#]=MIN(T_Onset[Random '#]))*1,0)),"")</f>
        <v>ɭ</v>
      </c>
      <c r="N170" s="18" t="s">
        <v>300</v>
      </c>
      <c r="O170" s="9">
        <v>1</v>
      </c>
      <c r="P170" s="9">
        <v>0.1</v>
      </c>
      <c r="Q170" s="13">
        <f ca="1">IF(T_Coda[[#This Row],[On/Off]]=1,RAND()/IF(T_Coda[[#This Row],[Weighting]]="",1,T_Coda[[#This Row],[Weighting]]),"")</f>
        <v>3.9661733501663288</v>
      </c>
      <c r="R170" s="14" t="str" cm="1">
        <f t="array" aca="1" ref="R170" ca="1">IFERROR(INDEX(T_Coda[Coda],MATCH(1,(T_Coda[Random '#]=MIN(T_Coda[Random '#]))*1,0)),"")</f>
        <v>ʕ</v>
      </c>
    </row>
    <row r="171" spans="2:18" x14ac:dyDescent="0.25">
      <c r="B171" s="17" t="s">
        <v>316</v>
      </c>
      <c r="C171" s="2">
        <v>1</v>
      </c>
      <c r="D171" s="2">
        <v>0.5</v>
      </c>
      <c r="E171" s="6">
        <f ca="1">IF(T_Onset[[#This Row],[On/Off]]=1,RAND()/IF(T_Onset[[#This Row],[Weighting]]="",1,T_Onset[[#This Row],[Weighting]]),"")</f>
        <v>2.8570886602205636E-2</v>
      </c>
      <c r="F171" s="15" t="str" cm="1">
        <f t="array" aca="1" ref="F171" ca="1">IFERROR(INDEX(T_Onset[Onset],MATCH(1,(T_Onset[Random '#]=MIN(T_Onset[Random '#]))*1,0)),"")</f>
        <v>ɭ</v>
      </c>
      <c r="N171" s="18" t="s">
        <v>260</v>
      </c>
      <c r="O171" s="9">
        <v>1</v>
      </c>
      <c r="P171" s="9">
        <v>0.1</v>
      </c>
      <c r="Q171" s="13">
        <f ca="1">IF(T_Coda[[#This Row],[On/Off]]=1,RAND()/IF(T_Coda[[#This Row],[Weighting]]="",1,T_Coda[[#This Row],[Weighting]]),"")</f>
        <v>7.5884310133005224</v>
      </c>
      <c r="R171" s="14" t="str" cm="1">
        <f t="array" aca="1" ref="R171" ca="1">IFERROR(INDEX(T_Coda[Coda],MATCH(1,(T_Coda[Random '#]=MIN(T_Coda[Random '#]))*1,0)),"")</f>
        <v>ʕ</v>
      </c>
    </row>
    <row r="172" spans="2:18" x14ac:dyDescent="0.25">
      <c r="B172" s="17" t="s">
        <v>317</v>
      </c>
      <c r="C172" s="2">
        <v>1</v>
      </c>
      <c r="D172" s="2">
        <v>0.5</v>
      </c>
      <c r="E172" s="6">
        <f ca="1">IF(T_Onset[[#This Row],[On/Off]]=1,RAND()/IF(T_Onset[[#This Row],[Weighting]]="",1,T_Onset[[#This Row],[Weighting]]),"")</f>
        <v>1.5518511918280753</v>
      </c>
      <c r="F172" s="15" t="str" cm="1">
        <f t="array" aca="1" ref="F172" ca="1">IFERROR(INDEX(T_Onset[Onset],MATCH(1,(T_Onset[Random '#]=MIN(T_Onset[Random '#]))*1,0)),"")</f>
        <v>ɭ</v>
      </c>
      <c r="N172" s="18" t="s">
        <v>237</v>
      </c>
      <c r="O172" s="9">
        <v>1</v>
      </c>
      <c r="P172" s="9">
        <v>0.1</v>
      </c>
      <c r="Q172" s="13">
        <f ca="1">IF(T_Coda[[#This Row],[On/Off]]=1,RAND()/IF(T_Coda[[#This Row],[Weighting]]="",1,T_Coda[[#This Row],[Weighting]]),"")</f>
        <v>3.5118677144992527</v>
      </c>
      <c r="R172" s="14" t="str" cm="1">
        <f t="array" aca="1" ref="R172" ca="1">IFERROR(INDEX(T_Coda[Coda],MATCH(1,(T_Coda[Random '#]=MIN(T_Coda[Random '#]))*1,0)),"")</f>
        <v>ʕ</v>
      </c>
    </row>
    <row r="173" spans="2:18" x14ac:dyDescent="0.25">
      <c r="B173" s="17" t="s">
        <v>318</v>
      </c>
      <c r="C173" s="2">
        <v>1</v>
      </c>
      <c r="D173" s="2">
        <v>0.5</v>
      </c>
      <c r="E173" s="6">
        <f ca="1">IF(T_Onset[[#This Row],[On/Off]]=1,RAND()/IF(T_Onset[[#This Row],[Weighting]]="",1,T_Onset[[#This Row],[Weighting]]),"")</f>
        <v>1.3878196924086283</v>
      </c>
      <c r="F173" s="15" t="str" cm="1">
        <f t="array" aca="1" ref="F173" ca="1">IFERROR(INDEX(T_Onset[Onset],MATCH(1,(T_Onset[Random '#]=MIN(T_Onset[Random '#]))*1,0)),"")</f>
        <v>ɭ</v>
      </c>
      <c r="N173" s="18" t="s">
        <v>288</v>
      </c>
      <c r="O173" s="9">
        <v>1</v>
      </c>
      <c r="P173" s="9">
        <v>0.1</v>
      </c>
      <c r="Q173" s="13">
        <f ca="1">IF(T_Coda[[#This Row],[On/Off]]=1,RAND()/IF(T_Coda[[#This Row],[Weighting]]="",1,T_Coda[[#This Row],[Weighting]]),"")</f>
        <v>6.548318308862517</v>
      </c>
      <c r="R173" s="14" t="str" cm="1">
        <f t="array" aca="1" ref="R173" ca="1">IFERROR(INDEX(T_Coda[Coda],MATCH(1,(T_Coda[Random '#]=MIN(T_Coda[Random '#]))*1,0)),"")</f>
        <v>ʕ</v>
      </c>
    </row>
    <row r="174" spans="2:18" x14ac:dyDescent="0.25">
      <c r="B174" s="17" t="s">
        <v>319</v>
      </c>
      <c r="C174" s="2">
        <v>1</v>
      </c>
      <c r="D174" s="2">
        <v>0.5</v>
      </c>
      <c r="E174" s="6">
        <f ca="1">IF(T_Onset[[#This Row],[On/Off]]=1,RAND()/IF(T_Onset[[#This Row],[Weighting]]="",1,T_Onset[[#This Row],[Weighting]]),"")</f>
        <v>4.6351392189093898E-2</v>
      </c>
      <c r="F174" s="15" t="str" cm="1">
        <f t="array" aca="1" ref="F174" ca="1">IFERROR(INDEX(T_Onset[Onset],MATCH(1,(T_Onset[Random '#]=MIN(T_Onset[Random '#]))*1,0)),"")</f>
        <v>ɭ</v>
      </c>
      <c r="N174" s="18" t="s">
        <v>296</v>
      </c>
      <c r="O174" s="9">
        <v>1</v>
      </c>
      <c r="P174" s="9">
        <v>0.1</v>
      </c>
      <c r="Q174" s="13">
        <f ca="1">IF(T_Coda[[#This Row],[On/Off]]=1,RAND()/IF(T_Coda[[#This Row],[Weighting]]="",1,T_Coda[[#This Row],[Weighting]]),"")</f>
        <v>6.2161734241614131</v>
      </c>
      <c r="R174" s="14" t="str" cm="1">
        <f t="array" aca="1" ref="R174" ca="1">IFERROR(INDEX(T_Coda[Coda],MATCH(1,(T_Coda[Random '#]=MIN(T_Coda[Random '#]))*1,0)),"")</f>
        <v>ʕ</v>
      </c>
    </row>
    <row r="175" spans="2:18" x14ac:dyDescent="0.25">
      <c r="B175" s="17" t="s">
        <v>320</v>
      </c>
      <c r="C175" s="2">
        <v>1</v>
      </c>
      <c r="D175" s="2">
        <v>0.5</v>
      </c>
      <c r="E175" s="6">
        <f ca="1">IF(T_Onset[[#This Row],[On/Off]]=1,RAND()/IF(T_Onset[[#This Row],[Weighting]]="",1,T_Onset[[#This Row],[Weighting]]),"")</f>
        <v>0.75345003597570459</v>
      </c>
      <c r="F175" s="15" t="str" cm="1">
        <f t="array" aca="1" ref="F175" ca="1">IFERROR(INDEX(T_Onset[Onset],MATCH(1,(T_Onset[Random '#]=MIN(T_Onset[Random '#]))*1,0)),"")</f>
        <v>ɭ</v>
      </c>
      <c r="N175" s="18" t="s">
        <v>244</v>
      </c>
      <c r="O175" s="9">
        <v>1</v>
      </c>
      <c r="P175" s="9">
        <v>0.1</v>
      </c>
      <c r="Q175" s="13">
        <f ca="1">IF(T_Coda[[#This Row],[On/Off]]=1,RAND()/IF(T_Coda[[#This Row],[Weighting]]="",1,T_Coda[[#This Row],[Weighting]]),"")</f>
        <v>4.0304394765634877</v>
      </c>
      <c r="R175" s="14" t="str" cm="1">
        <f t="array" aca="1" ref="R175" ca="1">IFERROR(INDEX(T_Coda[Coda],MATCH(1,(T_Coda[Random '#]=MIN(T_Coda[Random '#]))*1,0)),"")</f>
        <v>ʕ</v>
      </c>
    </row>
    <row r="176" spans="2:18" x14ac:dyDescent="0.25">
      <c r="B176" s="19" t="s">
        <v>321</v>
      </c>
      <c r="C176" s="7">
        <v>1</v>
      </c>
      <c r="D176" s="2">
        <v>0.5</v>
      </c>
      <c r="E176" s="8">
        <f ca="1">IF(T_Onset[[#This Row],[On/Off]]=1,RAND()/IF(T_Onset[[#This Row],[Weighting]]="",1,T_Onset[[#This Row],[Weighting]]),"")</f>
        <v>1.007957239894943</v>
      </c>
      <c r="F176" s="16" t="str" cm="1">
        <f t="array" aca="1" ref="F176" ca="1">IFERROR(INDEX(T_Onset[Onset],MATCH(1,(T_Onset[Random '#]=MIN(T_Onset[Random '#]))*1,0)),"")</f>
        <v>ɭ</v>
      </c>
      <c r="N176" s="18" t="s">
        <v>261</v>
      </c>
      <c r="O176" s="9">
        <v>1</v>
      </c>
      <c r="P176" s="9">
        <v>0.1</v>
      </c>
      <c r="Q176" s="13">
        <f ca="1">IF(T_Coda[[#This Row],[On/Off]]=1,RAND()/IF(T_Coda[[#This Row],[Weighting]]="",1,T_Coda[[#This Row],[Weighting]]),"")</f>
        <v>3.0945204094348608</v>
      </c>
      <c r="R176" s="14" t="str" cm="1">
        <f t="array" aca="1" ref="R176" ca="1">IFERROR(INDEX(T_Coda[Coda],MATCH(1,(T_Coda[Random '#]=MIN(T_Coda[Random '#]))*1,0)),"")</f>
        <v>ʕ</v>
      </c>
    </row>
    <row r="177" spans="14:18" x14ac:dyDescent="0.25">
      <c r="N177" s="18" t="s">
        <v>230</v>
      </c>
      <c r="O177" s="9">
        <v>1</v>
      </c>
      <c r="P177" s="9">
        <v>0.1</v>
      </c>
      <c r="Q177" s="13">
        <f ca="1">IF(T_Coda[[#This Row],[On/Off]]=1,RAND()/IF(T_Coda[[#This Row],[Weighting]]="",1,T_Coda[[#This Row],[Weighting]]),"")</f>
        <v>5.5846202839887802</v>
      </c>
      <c r="R177" s="14" t="str" cm="1">
        <f t="array" aca="1" ref="R177" ca="1">IFERROR(INDEX(T_Coda[Coda],MATCH(1,(T_Coda[Random '#]=MIN(T_Coda[Random '#]))*1,0)),"")</f>
        <v>ʕ</v>
      </c>
    </row>
    <row r="178" spans="14:18" x14ac:dyDescent="0.25">
      <c r="N178" s="18" t="s">
        <v>276</v>
      </c>
      <c r="O178" s="9">
        <v>1</v>
      </c>
      <c r="P178" s="9">
        <v>0.1</v>
      </c>
      <c r="Q178" s="13">
        <f ca="1">IF(T_Coda[[#This Row],[On/Off]]=1,RAND()/IF(T_Coda[[#This Row],[Weighting]]="",1,T_Coda[[#This Row],[Weighting]]),"")</f>
        <v>1.1914586800988447</v>
      </c>
      <c r="R178" s="14" t="str" cm="1">
        <f t="array" aca="1" ref="R178" ca="1">IFERROR(INDEX(T_Coda[Coda],MATCH(1,(T_Coda[Random '#]=MIN(T_Coda[Random '#]))*1,0)),"")</f>
        <v>ʕ</v>
      </c>
    </row>
    <row r="179" spans="14:18" x14ac:dyDescent="0.25">
      <c r="N179" s="18" t="s">
        <v>223</v>
      </c>
      <c r="O179" s="9">
        <v>1</v>
      </c>
      <c r="P179" s="9">
        <v>0.1</v>
      </c>
      <c r="Q179" s="13">
        <f ca="1">IF(T_Coda[[#This Row],[On/Off]]=1,RAND()/IF(T_Coda[[#This Row],[Weighting]]="",1,T_Coda[[#This Row],[Weighting]]),"")</f>
        <v>0.99775518473982028</v>
      </c>
      <c r="R179" s="14" t="str" cm="1">
        <f t="array" aca="1" ref="R179" ca="1">IFERROR(INDEX(T_Coda[Coda],MATCH(1,(T_Coda[Random '#]=MIN(T_Coda[Random '#]))*1,0)),"")</f>
        <v>ʕ</v>
      </c>
    </row>
    <row r="180" spans="14:18" x14ac:dyDescent="0.25">
      <c r="N180" s="18" t="s">
        <v>214</v>
      </c>
      <c r="O180" s="9">
        <v>1</v>
      </c>
      <c r="P180" s="9">
        <v>0.1</v>
      </c>
      <c r="Q180" s="13">
        <f ca="1">IF(T_Coda[[#This Row],[On/Off]]=1,RAND()/IF(T_Coda[[#This Row],[Weighting]]="",1,T_Coda[[#This Row],[Weighting]]),"")</f>
        <v>1.0677269357245756</v>
      </c>
      <c r="R180" s="14" t="str" cm="1">
        <f t="array" aca="1" ref="R180" ca="1">IFERROR(INDEX(T_Coda[Coda],MATCH(1,(T_Coda[Random '#]=MIN(T_Coda[Random '#]))*1,0)),"")</f>
        <v>ʕ</v>
      </c>
    </row>
    <row r="181" spans="14:18" x14ac:dyDescent="0.25">
      <c r="N181" s="18" t="s">
        <v>245</v>
      </c>
      <c r="O181" s="9">
        <v>1</v>
      </c>
      <c r="P181" s="9">
        <v>0.1</v>
      </c>
      <c r="Q181" s="13">
        <f ca="1">IF(T_Coda[[#This Row],[On/Off]]=1,RAND()/IF(T_Coda[[#This Row],[Weighting]]="",1,T_Coda[[#This Row],[Weighting]]),"")</f>
        <v>8.1914352410308133</v>
      </c>
      <c r="R181" s="14" t="str" cm="1">
        <f t="array" aca="1" ref="R181" ca="1">IFERROR(INDEX(T_Coda[Coda],MATCH(1,(T_Coda[Random '#]=MIN(T_Coda[Random '#]))*1,0)),"")</f>
        <v>ʕ</v>
      </c>
    </row>
    <row r="182" spans="14:18" x14ac:dyDescent="0.25">
      <c r="N182" s="18" t="s">
        <v>280</v>
      </c>
      <c r="O182" s="9">
        <v>1</v>
      </c>
      <c r="P182" s="9">
        <v>0.1</v>
      </c>
      <c r="Q182" s="13">
        <f ca="1">IF(T_Coda[[#This Row],[On/Off]]=1,RAND()/IF(T_Coda[[#This Row],[Weighting]]="",1,T_Coda[[#This Row],[Weighting]]),"")</f>
        <v>3.184600113956749</v>
      </c>
      <c r="R182" s="14" t="str" cm="1">
        <f t="array" aca="1" ref="R182" ca="1">IFERROR(INDEX(T_Coda[Coda],MATCH(1,(T_Coda[Random '#]=MIN(T_Coda[Random '#]))*1,0)),"")</f>
        <v>ʕ</v>
      </c>
    </row>
    <row r="183" spans="14:18" x14ac:dyDescent="0.25">
      <c r="N183" s="18" t="s">
        <v>239</v>
      </c>
      <c r="O183" s="9">
        <v>1</v>
      </c>
      <c r="P183" s="9">
        <v>0.1</v>
      </c>
      <c r="Q183" s="13">
        <f ca="1">IF(T_Coda[[#This Row],[On/Off]]=1,RAND()/IF(T_Coda[[#This Row],[Weighting]]="",1,T_Coda[[#This Row],[Weighting]]),"")</f>
        <v>0.82771137500793568</v>
      </c>
      <c r="R183" s="14" t="str" cm="1">
        <f t="array" aca="1" ref="R183" ca="1">IFERROR(INDEX(T_Coda[Coda],MATCH(1,(T_Coda[Random '#]=MIN(T_Coda[Random '#]))*1,0)),"")</f>
        <v>ʕ</v>
      </c>
    </row>
    <row r="184" spans="14:18" x14ac:dyDescent="0.25">
      <c r="N184" s="18" t="s">
        <v>286</v>
      </c>
      <c r="O184" s="9">
        <v>1</v>
      </c>
      <c r="P184" s="9">
        <v>0.1</v>
      </c>
      <c r="Q184" s="13">
        <f ca="1">IF(T_Coda[[#This Row],[On/Off]]=1,RAND()/IF(T_Coda[[#This Row],[Weighting]]="",1,T_Coda[[#This Row],[Weighting]]),"")</f>
        <v>6.881654853959625</v>
      </c>
      <c r="R184" s="14" t="str" cm="1">
        <f t="array" aca="1" ref="R184" ca="1">IFERROR(INDEX(T_Coda[Coda],MATCH(1,(T_Coda[Random '#]=MIN(T_Coda[Random '#]))*1,0)),"")</f>
        <v>ʕ</v>
      </c>
    </row>
    <row r="185" spans="14:18" x14ac:dyDescent="0.25">
      <c r="N185" s="18" t="s">
        <v>258</v>
      </c>
      <c r="O185" s="9">
        <v>1</v>
      </c>
      <c r="P185" s="9">
        <v>0.1</v>
      </c>
      <c r="Q185" s="13">
        <f ca="1">IF(T_Coda[[#This Row],[On/Off]]=1,RAND()/IF(T_Coda[[#This Row],[Weighting]]="",1,T_Coda[[#This Row],[Weighting]]),"")</f>
        <v>7.5887606148444062</v>
      </c>
      <c r="R185" s="14" t="str" cm="1">
        <f t="array" aca="1" ref="R185" ca="1">IFERROR(INDEX(T_Coda[Coda],MATCH(1,(T_Coda[Random '#]=MIN(T_Coda[Random '#]))*1,0)),"")</f>
        <v>ʕ</v>
      </c>
    </row>
    <row r="186" spans="14:18" x14ac:dyDescent="0.25">
      <c r="N186" s="18" t="s">
        <v>204</v>
      </c>
      <c r="O186" s="9">
        <v>1</v>
      </c>
      <c r="P186" s="9">
        <v>0.1</v>
      </c>
      <c r="Q186" s="13">
        <f ca="1">IF(T_Coda[[#This Row],[On/Off]]=1,RAND()/IF(T_Coda[[#This Row],[Weighting]]="",1,T_Coda[[#This Row],[Weighting]]),"")</f>
        <v>8.2123256433741272</v>
      </c>
      <c r="R186" s="14" t="str" cm="1">
        <f t="array" aca="1" ref="R186" ca="1">IFERROR(INDEX(T_Coda[Coda],MATCH(1,(T_Coda[Random '#]=MIN(T_Coda[Random '#]))*1,0)),"")</f>
        <v>ʕ</v>
      </c>
    </row>
    <row r="187" spans="14:18" x14ac:dyDescent="0.25">
      <c r="N187" s="18" t="s">
        <v>295</v>
      </c>
      <c r="O187" s="9">
        <v>1</v>
      </c>
      <c r="P187" s="9">
        <v>0.1</v>
      </c>
      <c r="Q187" s="13">
        <f ca="1">IF(T_Coda[[#This Row],[On/Off]]=1,RAND()/IF(T_Coda[[#This Row],[Weighting]]="",1,T_Coda[[#This Row],[Weighting]]),"")</f>
        <v>4.4214857700467487</v>
      </c>
      <c r="R187" s="14" t="str" cm="1">
        <f t="array" aca="1" ref="R187" ca="1">IFERROR(INDEX(T_Coda[Coda],MATCH(1,(T_Coda[Random '#]=MIN(T_Coda[Random '#]))*1,0)),"")</f>
        <v>ʕ</v>
      </c>
    </row>
    <row r="188" spans="14:18" x14ac:dyDescent="0.25">
      <c r="N188" s="18" t="s">
        <v>277</v>
      </c>
      <c r="O188" s="9">
        <v>1</v>
      </c>
      <c r="P188" s="9">
        <v>0.1</v>
      </c>
      <c r="Q188" s="13">
        <f ca="1">IF(T_Coda[[#This Row],[On/Off]]=1,RAND()/IF(T_Coda[[#This Row],[Weighting]]="",1,T_Coda[[#This Row],[Weighting]]),"")</f>
        <v>4.3631968319963255</v>
      </c>
      <c r="R188" s="14" t="str" cm="1">
        <f t="array" aca="1" ref="R188" ca="1">IFERROR(INDEX(T_Coda[Coda],MATCH(1,(T_Coda[Random '#]=MIN(T_Coda[Random '#]))*1,0)),"")</f>
        <v>ʕ</v>
      </c>
    </row>
    <row r="189" spans="14:18" x14ac:dyDescent="0.25">
      <c r="N189" s="18" t="s">
        <v>200</v>
      </c>
      <c r="O189" s="9">
        <v>1</v>
      </c>
      <c r="P189" s="9">
        <v>0.1</v>
      </c>
      <c r="Q189" s="13">
        <f ca="1">IF(T_Coda[[#This Row],[On/Off]]=1,RAND()/IF(T_Coda[[#This Row],[Weighting]]="",1,T_Coda[[#This Row],[Weighting]]),"")</f>
        <v>1.9928307195552353</v>
      </c>
      <c r="R189" s="14" t="str" cm="1">
        <f t="array" aca="1" ref="R189" ca="1">IFERROR(INDEX(T_Coda[Coda],MATCH(1,(T_Coda[Random '#]=MIN(T_Coda[Random '#]))*1,0)),"")</f>
        <v>ʕ</v>
      </c>
    </row>
    <row r="190" spans="14:18" x14ac:dyDescent="0.25">
      <c r="N190" s="18" t="s">
        <v>187</v>
      </c>
      <c r="O190" s="9">
        <v>1</v>
      </c>
      <c r="P190" s="9">
        <v>0.1</v>
      </c>
      <c r="Q190" s="13">
        <f ca="1">IF(T_Coda[[#This Row],[On/Off]]=1,RAND()/IF(T_Coda[[#This Row],[Weighting]]="",1,T_Coda[[#This Row],[Weighting]]),"")</f>
        <v>8.5100429489157889</v>
      </c>
      <c r="R190" s="14" t="str" cm="1">
        <f t="array" aca="1" ref="R190" ca="1">IFERROR(INDEX(T_Coda[Coda],MATCH(1,(T_Coda[Random '#]=MIN(T_Coda[Random '#]))*1,0)),"")</f>
        <v>ʕ</v>
      </c>
    </row>
    <row r="191" spans="14:18" x14ac:dyDescent="0.25">
      <c r="N191" s="17" t="s">
        <v>308</v>
      </c>
      <c r="O191" s="2">
        <v>1</v>
      </c>
      <c r="P191" s="2">
        <v>0.5</v>
      </c>
      <c r="Q191" s="6">
        <f ca="1">IF(T_Coda[[#This Row],[On/Off]]=1,RAND()/IF(T_Coda[[#This Row],[Weighting]]="",1,T_Coda[[#This Row],[Weighting]]),"")</f>
        <v>1.5724635155049214</v>
      </c>
      <c r="R191" s="15" t="str" cm="1">
        <f t="array" aca="1" ref="R191" ca="1">IFERROR(INDEX(T_Coda[Coda],MATCH(1,(T_Coda[Random '#]=MIN(T_Coda[Random '#]))*1,0)),"")</f>
        <v>ʕ</v>
      </c>
    </row>
    <row r="192" spans="14:18" x14ac:dyDescent="0.25">
      <c r="N192" s="17" t="s">
        <v>309</v>
      </c>
      <c r="O192" s="2">
        <v>1</v>
      </c>
      <c r="P192" s="2">
        <v>0.5</v>
      </c>
      <c r="Q192" s="6">
        <f ca="1">IF(T_Coda[[#This Row],[On/Off]]=1,RAND()/IF(T_Coda[[#This Row],[Weighting]]="",1,T_Coda[[#This Row],[Weighting]]),"")</f>
        <v>1.8413486919000659</v>
      </c>
      <c r="R192" s="15" t="str" cm="1">
        <f t="array" aca="1" ref="R192" ca="1">IFERROR(INDEX(T_Coda[Coda],MATCH(1,(T_Coda[Random '#]=MIN(T_Coda[Random '#]))*1,0)),"")</f>
        <v>ʕ</v>
      </c>
    </row>
    <row r="193" spans="14:18" x14ac:dyDescent="0.25">
      <c r="N193" s="17" t="s">
        <v>310</v>
      </c>
      <c r="O193" s="2">
        <v>1</v>
      </c>
      <c r="P193" s="2">
        <v>0.5</v>
      </c>
      <c r="Q193" s="6">
        <f ca="1">IF(T_Coda[[#This Row],[On/Off]]=1,RAND()/IF(T_Coda[[#This Row],[Weighting]]="",1,T_Coda[[#This Row],[Weighting]]),"")</f>
        <v>0.32013482859190612</v>
      </c>
      <c r="R193" s="15" t="str" cm="1">
        <f t="array" aca="1" ref="R193" ca="1">IFERROR(INDEX(T_Coda[Coda],MATCH(1,(T_Coda[Random '#]=MIN(T_Coda[Random '#]))*1,0)),"")</f>
        <v>ʕ</v>
      </c>
    </row>
    <row r="194" spans="14:18" x14ac:dyDescent="0.25">
      <c r="N194" s="17" t="s">
        <v>311</v>
      </c>
      <c r="O194" s="2">
        <v>1</v>
      </c>
      <c r="P194" s="2">
        <v>0.5</v>
      </c>
      <c r="Q194" s="6">
        <f ca="1">IF(T_Coda[[#This Row],[On/Off]]=1,RAND()/IF(T_Coda[[#This Row],[Weighting]]="",1,T_Coda[[#This Row],[Weighting]]),"")</f>
        <v>0.28561885512964547</v>
      </c>
      <c r="R194" s="15" t="str" cm="1">
        <f t="array" aca="1" ref="R194" ca="1">IFERROR(INDEX(T_Coda[Coda],MATCH(1,(T_Coda[Random '#]=MIN(T_Coda[Random '#]))*1,0)),"")</f>
        <v>ʕ</v>
      </c>
    </row>
    <row r="195" spans="14:18" x14ac:dyDescent="0.25">
      <c r="N195" s="17" t="s">
        <v>312</v>
      </c>
      <c r="O195" s="2">
        <v>1</v>
      </c>
      <c r="P195" s="2">
        <v>0.5</v>
      </c>
      <c r="Q195" s="6">
        <f ca="1">IF(T_Coda[[#This Row],[On/Off]]=1,RAND()/IF(T_Coda[[#This Row],[Weighting]]="",1,T_Coda[[#This Row],[Weighting]]),"")</f>
        <v>0.88765325751371793</v>
      </c>
      <c r="R195" s="15" t="str" cm="1">
        <f t="array" aca="1" ref="R195" ca="1">IFERROR(INDEX(T_Coda[Coda],MATCH(1,(T_Coda[Random '#]=MIN(T_Coda[Random '#]))*1,0)),"")</f>
        <v>ʕ</v>
      </c>
    </row>
    <row r="196" spans="14:18" x14ac:dyDescent="0.25">
      <c r="N196" s="17" t="s">
        <v>313</v>
      </c>
      <c r="O196" s="2">
        <v>1</v>
      </c>
      <c r="P196" s="2">
        <v>0.5</v>
      </c>
      <c r="Q196" s="6">
        <f ca="1">IF(T_Coda[[#This Row],[On/Off]]=1,RAND()/IF(T_Coda[[#This Row],[Weighting]]="",1,T_Coda[[#This Row],[Weighting]]),"")</f>
        <v>1.7141317208223539</v>
      </c>
      <c r="R196" s="15" t="str" cm="1">
        <f t="array" aca="1" ref="R196" ca="1">IFERROR(INDEX(T_Coda[Coda],MATCH(1,(T_Coda[Random '#]=MIN(T_Coda[Random '#]))*1,0)),"")</f>
        <v>ʕ</v>
      </c>
    </row>
    <row r="197" spans="14:18" x14ac:dyDescent="0.25">
      <c r="N197" s="17" t="s">
        <v>314</v>
      </c>
      <c r="O197" s="2">
        <v>1</v>
      </c>
      <c r="P197" s="2">
        <v>0.5</v>
      </c>
      <c r="Q197" s="6">
        <f ca="1">IF(T_Coda[[#This Row],[On/Off]]=1,RAND()/IF(T_Coda[[#This Row],[Weighting]]="",1,T_Coda[[#This Row],[Weighting]]),"")</f>
        <v>8.5847600216717002E-2</v>
      </c>
      <c r="R197" s="15" t="str" cm="1">
        <f t="array" aca="1" ref="R197" ca="1">IFERROR(INDEX(T_Coda[Coda],MATCH(1,(T_Coda[Random '#]=MIN(T_Coda[Random '#]))*1,0)),"")</f>
        <v>ʕ</v>
      </c>
    </row>
    <row r="198" spans="14:18" x14ac:dyDescent="0.25">
      <c r="N198" s="17" t="s">
        <v>315</v>
      </c>
      <c r="O198" s="2">
        <v>1</v>
      </c>
      <c r="P198" s="2">
        <v>0.5</v>
      </c>
      <c r="Q198" s="6">
        <f ca="1">IF(T_Coda[[#This Row],[On/Off]]=1,RAND()/IF(T_Coda[[#This Row],[Weighting]]="",1,T_Coda[[#This Row],[Weighting]]),"")</f>
        <v>1.4529892378509448</v>
      </c>
      <c r="R198" s="15" t="str" cm="1">
        <f t="array" aca="1" ref="R198" ca="1">IFERROR(INDEX(T_Coda[Coda],MATCH(1,(T_Coda[Random '#]=MIN(T_Coda[Random '#]))*1,0)),"")</f>
        <v>ʕ</v>
      </c>
    </row>
    <row r="199" spans="14:18" x14ac:dyDescent="0.25">
      <c r="N199" s="17" t="s">
        <v>316</v>
      </c>
      <c r="O199" s="2">
        <v>1</v>
      </c>
      <c r="P199" s="2">
        <v>0.5</v>
      </c>
      <c r="Q199" s="6">
        <f ca="1">IF(T_Coda[[#This Row],[On/Off]]=1,RAND()/IF(T_Coda[[#This Row],[Weighting]]="",1,T_Coda[[#This Row],[Weighting]]),"")</f>
        <v>0.63433062289532116</v>
      </c>
      <c r="R199" s="15" t="str" cm="1">
        <f t="array" aca="1" ref="R199" ca="1">IFERROR(INDEX(T_Coda[Coda],MATCH(1,(T_Coda[Random '#]=MIN(T_Coda[Random '#]))*1,0)),"")</f>
        <v>ʕ</v>
      </c>
    </row>
    <row r="200" spans="14:18" x14ac:dyDescent="0.25">
      <c r="N200" s="17" t="s">
        <v>317</v>
      </c>
      <c r="O200" s="2">
        <v>1</v>
      </c>
      <c r="P200" s="2">
        <v>0.5</v>
      </c>
      <c r="Q200" s="6">
        <f ca="1">IF(T_Coda[[#This Row],[On/Off]]=1,RAND()/IF(T_Coda[[#This Row],[Weighting]]="",1,T_Coda[[#This Row],[Weighting]]),"")</f>
        <v>1.6602925058350078</v>
      </c>
      <c r="R200" s="15" t="str" cm="1">
        <f t="array" aca="1" ref="R200" ca="1">IFERROR(INDEX(T_Coda[Coda],MATCH(1,(T_Coda[Random '#]=MIN(T_Coda[Random '#]))*1,0)),"")</f>
        <v>ʕ</v>
      </c>
    </row>
    <row r="201" spans="14:18" x14ac:dyDescent="0.25">
      <c r="N201" s="17" t="s">
        <v>318</v>
      </c>
      <c r="O201" s="2">
        <v>1</v>
      </c>
      <c r="P201" s="2">
        <v>0.5</v>
      </c>
      <c r="Q201" s="6">
        <f ca="1">IF(T_Coda[[#This Row],[On/Off]]=1,RAND()/IF(T_Coda[[#This Row],[Weighting]]="",1,T_Coda[[#This Row],[Weighting]]),"")</f>
        <v>1.3590717901411236</v>
      </c>
      <c r="R201" s="15" t="str" cm="1">
        <f t="array" aca="1" ref="R201" ca="1">IFERROR(INDEX(T_Coda[Coda],MATCH(1,(T_Coda[Random '#]=MIN(T_Coda[Random '#]))*1,0)),"")</f>
        <v>ʕ</v>
      </c>
    </row>
    <row r="202" spans="14:18" x14ac:dyDescent="0.25">
      <c r="N202" s="17" t="s">
        <v>319</v>
      </c>
      <c r="O202" s="2">
        <v>1</v>
      </c>
      <c r="P202" s="2">
        <v>0.5</v>
      </c>
      <c r="Q202" s="6">
        <f ca="1">IF(T_Coda[[#This Row],[On/Off]]=1,RAND()/IF(T_Coda[[#This Row],[Weighting]]="",1,T_Coda[[#This Row],[Weighting]]),"")</f>
        <v>0.4522873809546446</v>
      </c>
      <c r="R202" s="15" t="str" cm="1">
        <f t="array" aca="1" ref="R202" ca="1">IFERROR(INDEX(T_Coda[Coda],MATCH(1,(T_Coda[Random '#]=MIN(T_Coda[Random '#]))*1,0)),"")</f>
        <v>ʕ</v>
      </c>
    </row>
    <row r="203" spans="14:18" x14ac:dyDescent="0.25">
      <c r="N203" s="17" t="s">
        <v>320</v>
      </c>
      <c r="O203" s="2">
        <v>1</v>
      </c>
      <c r="P203" s="2">
        <v>0.5</v>
      </c>
      <c r="Q203" s="6">
        <f ca="1">IF(T_Coda[[#This Row],[On/Off]]=1,RAND()/IF(T_Coda[[#This Row],[Weighting]]="",1,T_Coda[[#This Row],[Weighting]]),"")</f>
        <v>1.9553921020338387</v>
      </c>
      <c r="R203" s="15" t="str" cm="1">
        <f t="array" aca="1" ref="R203" ca="1">IFERROR(INDEX(T_Coda[Coda],MATCH(1,(T_Coda[Random '#]=MIN(T_Coda[Random '#]))*1,0)),"")</f>
        <v>ʕ</v>
      </c>
    </row>
    <row r="204" spans="14:18" x14ac:dyDescent="0.25">
      <c r="N204" s="19" t="s">
        <v>321</v>
      </c>
      <c r="O204" s="7">
        <v>1</v>
      </c>
      <c r="P204" s="2">
        <v>0.5</v>
      </c>
      <c r="Q204" s="8">
        <f ca="1">IF(T_Coda[[#This Row],[On/Off]]=1,RAND()/IF(T_Coda[[#This Row],[Weighting]]="",1,T_Coda[[#This Row],[Weighting]]),"")</f>
        <v>8.2501249068866134E-2</v>
      </c>
      <c r="R204" s="16" t="str" cm="1">
        <f t="array" aca="1" ref="R204" ca="1">IFERROR(INDEX(T_Coda[Coda],MATCH(1,(T_Coda[Random '#]=MIN(T_Coda[Random '#]))*1,0)),"")</f>
        <v>ʕ</v>
      </c>
    </row>
  </sheetData>
  <mergeCells count="14">
    <mergeCell ref="T2:AC2"/>
    <mergeCell ref="T3:AC3"/>
    <mergeCell ref="T5:V5"/>
    <mergeCell ref="W5:Y5"/>
    <mergeCell ref="T6:V6"/>
    <mergeCell ref="W6:Y6"/>
    <mergeCell ref="T11:BC18"/>
    <mergeCell ref="AA5:AD9"/>
    <mergeCell ref="T7:V7"/>
    <mergeCell ref="W7:Y7"/>
    <mergeCell ref="T8:V8"/>
    <mergeCell ref="W8:Y8"/>
    <mergeCell ref="T9:V9"/>
    <mergeCell ref="W9:Y9"/>
  </mergeCells>
  <conditionalFormatting sqref="J3:J22 D3:D176 P3:P204">
    <cfRule type="expression" dxfId="28" priority="1">
      <formula>C3&lt;&gt;1</formula>
    </cfRule>
  </conditionalFormatting>
  <dataValidations count="8">
    <dataValidation type="list" allowBlank="1" showInputMessage="1" showErrorMessage="1" errorTitle="Invalid entry" error="Add 1 or 0:_x000a__x000a_1 = On (green tick)_x000a_0 = Off (red cross)" promptTitle="On/Off" prompt="Add 1 or 0:_x000a__x000a_1 = On (green tick)_x000a_0 = Off (red cross)" sqref="L4:L22 R4:R68 I3:I22 C3:C176 O3:O204" xr:uid="{76233B9C-D700-4A58-A84A-06CD7423467F}">
      <formula1>"1,0"</formula1>
    </dataValidation>
    <dataValidation type="whole" allowBlank="1" showInputMessage="1" showErrorMessage="1" errorTitle="Invalid entry" error="Enter a number between 1 and the maximum number set below" promptTitle="Minimum number of symbols" prompt="Enter a number between 1 and the maximum number set below" sqref="AD2" xr:uid="{FE822AEC-A425-4F6F-AE39-33BBF65694FC}">
      <formula1>1</formula1>
      <formula2>AD3</formula2>
    </dataValidation>
    <dataValidation type="whole" allowBlank="1" showInputMessage="1" showErrorMessage="1" errorTitle="Invalid entry" error="Enter a number between the minimum number set above and 10" promptTitle="Maximum number of symbols" prompt="Enter a number between the minimum number set above and 10" sqref="AD3" xr:uid="{C44F55F7-37B2-4A2D-A093-35BBC7787917}">
      <formula1>AD2</formula1>
      <formula2>10</formula2>
    </dataValidation>
    <dataValidation type="decimal" allowBlank="1" showInputMessage="1" showErrorMessage="1" errorTitle="Invalid entry" error="Enter a percentage between 0 and 100" promptTitle="Chance of [C]V[C]" prompt="Enter a percentage between 0 and 100 so that the total adds up to 100%" sqref="W9:Y9" xr:uid="{6D5966B4-2464-432D-B9CA-92A2CD47BBE7}">
      <formula1>0</formula1>
      <formula2>1</formula2>
    </dataValidation>
    <dataValidation type="decimal" allowBlank="1" showInputMessage="1" showErrorMessage="1" errorTitle="Invalid entry" error="Enter a percentage between 0 and 100" promptTitle="Chance of V" prompt="Enter a percentage between 0 and 100 so that the total adds up to 100%" sqref="W6:Y6" xr:uid="{C3C051FA-9D48-4F0D-AA03-F1958B3BE459}">
      <formula1>0</formula1>
      <formula2>1</formula2>
    </dataValidation>
    <dataValidation type="decimal" allowBlank="1" showInputMessage="1" showErrorMessage="1" errorTitle="Invalid entry" error="Enter a percentage between 0 and 100" promptTitle="Chance of [C]V" prompt="Enter a percentage between 0 and 100 so that the total adds up to 100%" sqref="W7:Y7" xr:uid="{4F9BE6DB-AE11-4524-9354-8864997F2A25}">
      <formula1>0</formula1>
      <formula2>1</formula2>
    </dataValidation>
    <dataValidation type="decimal" allowBlank="1" showInputMessage="1" showErrorMessage="1" errorTitle="Invalid entry" error="Enter a percentage between 0 and 100" promptTitle="Chance of V[C]" prompt="Enter a percentage between 0 and 100 so that the total adds up to 100%" sqref="W8:Y8" xr:uid="{7AEE7166-E3BB-4646-880C-0C57631F90F3}">
      <formula1>0</formula1>
      <formula2>1</formula2>
    </dataValidation>
    <dataValidation type="decimal" operator="greaterThan" allowBlank="1" showInputMessage="1" showErrorMessage="1" errorTitle="Invalid entry" error="Enter a positive number" promptTitle="Weighting" prompt="The larger the weighting, the more likely the symbol is to appear." sqref="D3:D176 J3:J22 P3:P204" xr:uid="{7C8A3528-46E1-4FCF-94E0-86625A2518BB}">
      <formula1>0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CEC8C687-A16F-4F74-8492-7D17DBC3BE5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C3:C176</xm:sqref>
        </x14:conditionalFormatting>
        <x14:conditionalFormatting xmlns:xm="http://schemas.microsoft.com/office/excel/2006/main">
          <x14:cfRule type="iconSet" priority="7" id="{1666B08C-66F8-4015-94E0-FFB8FF1F82B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R4:R68 O3:O204</xm:sqref>
        </x14:conditionalFormatting>
        <x14:conditionalFormatting xmlns:xm="http://schemas.microsoft.com/office/excel/2006/main">
          <x14:cfRule type="iconSet" priority="21" id="{89392FCB-B7BA-4AF4-AFA3-F8A84CA3436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L4:L22 I3:I22</xm:sqref>
        </x14:conditionalFormatting>
        <x14:conditionalFormatting xmlns:xm="http://schemas.microsoft.com/office/excel/2006/main">
          <x14:cfRule type="iconSet" priority="5" id="{F8E56E53-332F-4769-940E-6CF07973176F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T6</xm:sqref>
        </x14:conditionalFormatting>
        <x14:conditionalFormatting xmlns:xm="http://schemas.microsoft.com/office/excel/2006/main">
          <x14:cfRule type="iconSet" priority="4" id="{12624FDC-B25F-47F1-B855-8C7B9ED02FA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T7</xm:sqref>
        </x14:conditionalFormatting>
        <x14:conditionalFormatting xmlns:xm="http://schemas.microsoft.com/office/excel/2006/main">
          <x14:cfRule type="iconSet" priority="3" id="{60C90C61-FCD1-4392-ABA2-8FC1560E32F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T8</xm:sqref>
        </x14:conditionalFormatting>
        <x14:conditionalFormatting xmlns:xm="http://schemas.microsoft.com/office/excel/2006/main">
          <x14:cfRule type="iconSet" priority="2" id="{D7315E3E-67A3-490B-B417-FFB3A8E3F2CB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T9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IPA Nonsense Word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2022-01-08T14:26:23Z</dcterms:created>
  <dcterms:modified xsi:type="dcterms:W3CDTF">2022-01-08T20:32:39Z</dcterms:modified>
</cp:coreProperties>
</file>